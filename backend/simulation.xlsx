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C:\Users\khntu\Downloads\"/>
    </mc:Choice>
  </mc:AlternateContent>
  <xr:revisionPtr revIDLastSave="0" documentId="8_{7F294B25-D4D1-41CD-985A-CCEA2B616028}" xr6:coauthVersionLast="47" xr6:coauthVersionMax="47" xr10:uidLastSave="{00000000-0000-0000-0000-000000000000}"/>
  <bookViews>
    <workbookView xWindow="0" yWindow="0" windowWidth="19200" windowHeight="7180" xr2:uid="{00000000-000D-0000-FFFF-FFFF00000000}"/>
  </bookViews>
  <sheets>
    <sheet name="Sheet4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0" l="1"/>
  <c r="AC34" i="10"/>
  <c r="AC15" i="10" l="1"/>
  <c r="F229" i="10" l="1"/>
  <c r="H241" i="10" l="1"/>
  <c r="I241" i="10" s="1"/>
  <c r="F241" i="10"/>
  <c r="G241" i="10" s="1"/>
  <c r="H240" i="10"/>
  <c r="I240" i="10" s="1"/>
  <c r="F240" i="10"/>
  <c r="G240" i="10" s="1"/>
  <c r="H239" i="10"/>
  <c r="I239" i="10" s="1"/>
  <c r="F239" i="10"/>
  <c r="G239" i="10" s="1"/>
  <c r="H238" i="10"/>
  <c r="I238" i="10" s="1"/>
  <c r="F238" i="10"/>
  <c r="G238" i="10" s="1"/>
  <c r="H237" i="10"/>
  <c r="I237" i="10" s="1"/>
  <c r="F237" i="10"/>
  <c r="G237" i="10" s="1"/>
  <c r="H236" i="10"/>
  <c r="I236" i="10" s="1"/>
  <c r="F236" i="10"/>
  <c r="G236" i="10" s="1"/>
  <c r="H235" i="10"/>
  <c r="I235" i="10" s="1"/>
  <c r="F235" i="10"/>
  <c r="G235" i="10" s="1"/>
  <c r="H234" i="10"/>
  <c r="I234" i="10" s="1"/>
  <c r="F234" i="10"/>
  <c r="G234" i="10" s="1"/>
  <c r="H233" i="10"/>
  <c r="I233" i="10" s="1"/>
  <c r="F233" i="10"/>
  <c r="G233" i="10" s="1"/>
  <c r="H232" i="10"/>
  <c r="I232" i="10" s="1"/>
  <c r="F232" i="10"/>
  <c r="G232" i="10" s="1"/>
  <c r="H231" i="10"/>
  <c r="I231" i="10" s="1"/>
  <c r="F231" i="10"/>
  <c r="G231" i="10" s="1"/>
  <c r="H230" i="10"/>
  <c r="I230" i="10" s="1"/>
  <c r="F230" i="10"/>
  <c r="G230" i="10" s="1"/>
  <c r="H229" i="10"/>
  <c r="I229" i="10" s="1"/>
  <c r="G229" i="10"/>
  <c r="H228" i="10"/>
  <c r="I228" i="10" s="1"/>
  <c r="F228" i="10"/>
  <c r="G228" i="10" s="1"/>
  <c r="H227" i="10"/>
  <c r="I227" i="10" s="1"/>
  <c r="F227" i="10"/>
  <c r="G227" i="10" s="1"/>
  <c r="H226" i="10"/>
  <c r="I226" i="10" s="1"/>
  <c r="F226" i="10"/>
  <c r="G226" i="10" s="1"/>
  <c r="H225" i="10"/>
  <c r="I225" i="10" s="1"/>
  <c r="F225" i="10"/>
  <c r="G225" i="10" s="1"/>
  <c r="H224" i="10"/>
  <c r="I224" i="10" s="1"/>
  <c r="F224" i="10"/>
  <c r="G224" i="10" s="1"/>
  <c r="H223" i="10"/>
  <c r="I223" i="10" s="1"/>
  <c r="F223" i="10"/>
  <c r="G223" i="10" s="1"/>
  <c r="H222" i="10"/>
  <c r="I222" i="10" s="1"/>
  <c r="F222" i="10"/>
  <c r="G222" i="10" s="1"/>
  <c r="H221" i="10"/>
  <c r="I221" i="10" s="1"/>
  <c r="F221" i="10"/>
  <c r="G221" i="10" s="1"/>
  <c r="H220" i="10"/>
  <c r="I220" i="10" s="1"/>
  <c r="F220" i="10"/>
  <c r="G220" i="10" s="1"/>
  <c r="H219" i="10"/>
  <c r="I219" i="10" s="1"/>
  <c r="F219" i="10"/>
  <c r="G219" i="10" s="1"/>
  <c r="H218" i="10"/>
  <c r="I218" i="10" s="1"/>
  <c r="F218" i="10"/>
  <c r="G218" i="10" s="1"/>
  <c r="H217" i="10"/>
  <c r="I217" i="10" s="1"/>
  <c r="F217" i="10"/>
  <c r="G217" i="10" s="1"/>
  <c r="H216" i="10"/>
  <c r="I216" i="10" s="1"/>
  <c r="F216" i="10"/>
  <c r="G216" i="10" s="1"/>
  <c r="H215" i="10"/>
  <c r="I215" i="10" s="1"/>
  <c r="F215" i="10"/>
  <c r="G215" i="10" s="1"/>
  <c r="H214" i="10"/>
  <c r="I214" i="10" s="1"/>
  <c r="F214" i="10"/>
  <c r="G214" i="10" s="1"/>
  <c r="H213" i="10"/>
  <c r="I213" i="10" s="1"/>
  <c r="F213" i="10"/>
  <c r="G213" i="10" s="1"/>
  <c r="H212" i="10"/>
  <c r="I212" i="10" s="1"/>
  <c r="F212" i="10"/>
  <c r="G212" i="10" s="1"/>
  <c r="H211" i="10"/>
  <c r="I211" i="10" s="1"/>
  <c r="F211" i="10"/>
  <c r="G211" i="10" s="1"/>
  <c r="H210" i="10"/>
  <c r="I210" i="10" s="1"/>
  <c r="F210" i="10"/>
  <c r="G210" i="10" s="1"/>
  <c r="H209" i="10"/>
  <c r="I209" i="10" s="1"/>
  <c r="F209" i="10"/>
  <c r="G209" i="10" s="1"/>
  <c r="H208" i="10"/>
  <c r="I208" i="10" s="1"/>
  <c r="F208" i="10"/>
  <c r="G208" i="10" s="1"/>
  <c r="H207" i="10"/>
  <c r="I207" i="10" s="1"/>
  <c r="F207" i="10"/>
  <c r="G207" i="10" s="1"/>
  <c r="H206" i="10"/>
  <c r="I206" i="10" s="1"/>
  <c r="F206" i="10"/>
  <c r="G206" i="10" s="1"/>
  <c r="H205" i="10"/>
  <c r="I205" i="10" s="1"/>
  <c r="F205" i="10"/>
  <c r="G205" i="10" s="1"/>
  <c r="H204" i="10"/>
  <c r="I204" i="10" s="1"/>
  <c r="F204" i="10"/>
  <c r="G204" i="10" s="1"/>
  <c r="H203" i="10"/>
  <c r="I203" i="10" s="1"/>
  <c r="F203" i="10"/>
  <c r="G203" i="10" s="1"/>
  <c r="H202" i="10"/>
  <c r="I202" i="10" s="1"/>
  <c r="G202" i="10"/>
  <c r="H201" i="10"/>
  <c r="I201" i="10" s="1"/>
  <c r="F201" i="10"/>
  <c r="G201" i="10" s="1"/>
  <c r="H200" i="10"/>
  <c r="I200" i="10" s="1"/>
  <c r="F200" i="10"/>
  <c r="G200" i="10" s="1"/>
  <c r="H199" i="10"/>
  <c r="I199" i="10" s="1"/>
  <c r="F199" i="10"/>
  <c r="G199" i="10" s="1"/>
  <c r="H198" i="10"/>
  <c r="I198" i="10" s="1"/>
  <c r="F198" i="10"/>
  <c r="G198" i="10" s="1"/>
  <c r="H197" i="10"/>
  <c r="I197" i="10" s="1"/>
  <c r="F197" i="10"/>
  <c r="G197" i="10" s="1"/>
  <c r="H196" i="10"/>
  <c r="I196" i="10" s="1"/>
  <c r="F196" i="10"/>
  <c r="G196" i="10" s="1"/>
  <c r="H195" i="10"/>
  <c r="I195" i="10" s="1"/>
  <c r="F195" i="10"/>
  <c r="G195" i="10" s="1"/>
  <c r="H194" i="10"/>
  <c r="I194" i="10" s="1"/>
  <c r="F194" i="10"/>
  <c r="G194" i="10" s="1"/>
  <c r="H193" i="10"/>
  <c r="I193" i="10" s="1"/>
  <c r="F193" i="10"/>
  <c r="G193" i="10" s="1"/>
  <c r="H192" i="10"/>
  <c r="I192" i="10" s="1"/>
  <c r="F192" i="10"/>
  <c r="G192" i="10" s="1"/>
  <c r="H191" i="10"/>
  <c r="I191" i="10" s="1"/>
  <c r="F191" i="10"/>
  <c r="G191" i="10" s="1"/>
  <c r="H190" i="10"/>
  <c r="I190" i="10" s="1"/>
  <c r="F190" i="10"/>
  <c r="G190" i="10" s="1"/>
  <c r="H189" i="10"/>
  <c r="I189" i="10" s="1"/>
  <c r="F189" i="10"/>
  <c r="G189" i="10" s="1"/>
  <c r="H188" i="10"/>
  <c r="I188" i="10" s="1"/>
  <c r="F188" i="10"/>
  <c r="G188" i="10" s="1"/>
  <c r="H187" i="10"/>
  <c r="I187" i="10" s="1"/>
  <c r="F187" i="10"/>
  <c r="G187" i="10" s="1"/>
  <c r="H186" i="10"/>
  <c r="I186" i="10" s="1"/>
  <c r="F186" i="10"/>
  <c r="G186" i="10" s="1"/>
  <c r="H185" i="10"/>
  <c r="I185" i="10" s="1"/>
  <c r="F185" i="10"/>
  <c r="G185" i="10" s="1"/>
  <c r="H184" i="10"/>
  <c r="I184" i="10" s="1"/>
  <c r="F184" i="10"/>
  <c r="G184" i="10" s="1"/>
  <c r="H183" i="10"/>
  <c r="I183" i="10" s="1"/>
  <c r="F183" i="10"/>
  <c r="G183" i="10" s="1"/>
  <c r="H182" i="10"/>
  <c r="I182" i="10" s="1"/>
  <c r="F182" i="10"/>
  <c r="G182" i="10" s="1"/>
  <c r="H181" i="10"/>
  <c r="I181" i="10" s="1"/>
  <c r="F181" i="10"/>
  <c r="G181" i="10" s="1"/>
  <c r="H180" i="10"/>
  <c r="I180" i="10" s="1"/>
  <c r="F180" i="10"/>
  <c r="G180" i="10" s="1"/>
  <c r="H179" i="10"/>
  <c r="I179" i="10" s="1"/>
  <c r="F179" i="10"/>
  <c r="G179" i="10" s="1"/>
  <c r="H178" i="10"/>
  <c r="I178" i="10" s="1"/>
  <c r="F178" i="10"/>
  <c r="G178" i="10" s="1"/>
  <c r="H177" i="10"/>
  <c r="I177" i="10" s="1"/>
  <c r="F177" i="10"/>
  <c r="G177" i="10" s="1"/>
  <c r="H176" i="10"/>
  <c r="I176" i="10" s="1"/>
  <c r="F176" i="10"/>
  <c r="G176" i="10" s="1"/>
  <c r="H175" i="10"/>
  <c r="I175" i="10" s="1"/>
  <c r="F175" i="10"/>
  <c r="G175" i="10" s="1"/>
  <c r="H174" i="10"/>
  <c r="I174" i="10" s="1"/>
  <c r="F174" i="10"/>
  <c r="G174" i="10" s="1"/>
  <c r="H173" i="10"/>
  <c r="I173" i="10" s="1"/>
  <c r="F173" i="10"/>
  <c r="G173" i="10" s="1"/>
  <c r="H172" i="10"/>
  <c r="I172" i="10" s="1"/>
  <c r="F172" i="10"/>
  <c r="G172" i="10" s="1"/>
  <c r="H171" i="10"/>
  <c r="I171" i="10" s="1"/>
  <c r="F171" i="10"/>
  <c r="G171" i="10" s="1"/>
  <c r="H170" i="10"/>
  <c r="I170" i="10" s="1"/>
  <c r="F170" i="10"/>
  <c r="G170" i="10" s="1"/>
  <c r="H169" i="10"/>
  <c r="I169" i="10" s="1"/>
  <c r="F169" i="10"/>
  <c r="G169" i="10" s="1"/>
  <c r="H168" i="10"/>
  <c r="I168" i="10" s="1"/>
  <c r="F168" i="10"/>
  <c r="G168" i="10" s="1"/>
  <c r="H167" i="10"/>
  <c r="I167" i="10" s="1"/>
  <c r="F167" i="10"/>
  <c r="G167" i="10" s="1"/>
  <c r="H166" i="10"/>
  <c r="I166" i="10" s="1"/>
  <c r="F166" i="10"/>
  <c r="G166" i="10" s="1"/>
  <c r="H165" i="10"/>
  <c r="I165" i="10" s="1"/>
  <c r="F165" i="10"/>
  <c r="G165" i="10" s="1"/>
  <c r="H164" i="10"/>
  <c r="I164" i="10" s="1"/>
  <c r="F164" i="10"/>
  <c r="G164" i="10" s="1"/>
  <c r="H163" i="10"/>
  <c r="I163" i="10" s="1"/>
  <c r="F163" i="10"/>
  <c r="G163" i="10" s="1"/>
  <c r="H162" i="10"/>
  <c r="I162" i="10" s="1"/>
  <c r="G162" i="10"/>
  <c r="H161" i="10"/>
  <c r="I161" i="10" s="1"/>
  <c r="F161" i="10"/>
  <c r="G161" i="10" s="1"/>
  <c r="H160" i="10"/>
  <c r="I160" i="10" s="1"/>
  <c r="F160" i="10"/>
  <c r="G160" i="10" s="1"/>
  <c r="H159" i="10"/>
  <c r="I159" i="10" s="1"/>
  <c r="F159" i="10"/>
  <c r="G159" i="10" s="1"/>
  <c r="H158" i="10"/>
  <c r="I158" i="10" s="1"/>
  <c r="F158" i="10"/>
  <c r="G158" i="10" s="1"/>
  <c r="H157" i="10"/>
  <c r="I157" i="10" s="1"/>
  <c r="F157" i="10"/>
  <c r="G157" i="10" s="1"/>
  <c r="H156" i="10"/>
  <c r="I156" i="10" s="1"/>
  <c r="F156" i="10"/>
  <c r="G156" i="10" s="1"/>
  <c r="H155" i="10"/>
  <c r="I155" i="10" s="1"/>
  <c r="F155" i="10"/>
  <c r="G155" i="10" s="1"/>
  <c r="H154" i="10"/>
  <c r="I154" i="10" s="1"/>
  <c r="F154" i="10"/>
  <c r="G154" i="10" s="1"/>
  <c r="H153" i="10"/>
  <c r="I153" i="10" s="1"/>
  <c r="F153" i="10"/>
  <c r="G153" i="10" s="1"/>
  <c r="H152" i="10"/>
  <c r="I152" i="10" s="1"/>
  <c r="F152" i="10"/>
  <c r="G152" i="10" s="1"/>
  <c r="H151" i="10"/>
  <c r="I151" i="10" s="1"/>
  <c r="F151" i="10"/>
  <c r="G151" i="10" s="1"/>
  <c r="H150" i="10"/>
  <c r="I150" i="10" s="1"/>
  <c r="F150" i="10"/>
  <c r="G150" i="10" s="1"/>
  <c r="H149" i="10"/>
  <c r="I149" i="10" s="1"/>
  <c r="F149" i="10"/>
  <c r="G149" i="10" s="1"/>
  <c r="H148" i="10"/>
  <c r="I148" i="10" s="1"/>
  <c r="F148" i="10"/>
  <c r="G148" i="10" s="1"/>
  <c r="H147" i="10"/>
  <c r="I147" i="10" s="1"/>
  <c r="F147" i="10"/>
  <c r="G147" i="10" s="1"/>
  <c r="H146" i="10"/>
  <c r="I146" i="10" s="1"/>
  <c r="F146" i="10"/>
  <c r="G146" i="10" s="1"/>
  <c r="H145" i="10"/>
  <c r="I145" i="10" s="1"/>
  <c r="F145" i="10"/>
  <c r="G145" i="10" s="1"/>
  <c r="H144" i="10"/>
  <c r="I144" i="10" s="1"/>
  <c r="F144" i="10"/>
  <c r="G144" i="10" s="1"/>
  <c r="H143" i="10"/>
  <c r="I143" i="10" s="1"/>
  <c r="F143" i="10"/>
  <c r="G143" i="10" s="1"/>
  <c r="H142" i="10"/>
  <c r="I142" i="10" s="1"/>
  <c r="F142" i="10"/>
  <c r="G142" i="10" s="1"/>
  <c r="H141" i="10"/>
  <c r="I141" i="10" s="1"/>
  <c r="F141" i="10"/>
  <c r="G141" i="10" s="1"/>
  <c r="H140" i="10"/>
  <c r="I140" i="10" s="1"/>
  <c r="F140" i="10"/>
  <c r="G140" i="10" s="1"/>
  <c r="H139" i="10"/>
  <c r="I139" i="10" s="1"/>
  <c r="F139" i="10"/>
  <c r="G139" i="10" s="1"/>
  <c r="H138" i="10"/>
  <c r="I138" i="10" s="1"/>
  <c r="F138" i="10"/>
  <c r="G138" i="10" s="1"/>
  <c r="H137" i="10"/>
  <c r="I137" i="10" s="1"/>
  <c r="F137" i="10"/>
  <c r="G137" i="10" s="1"/>
  <c r="H136" i="10"/>
  <c r="I136" i="10" s="1"/>
  <c r="F136" i="10"/>
  <c r="G136" i="10" s="1"/>
  <c r="H135" i="10"/>
  <c r="I135" i="10" s="1"/>
  <c r="F135" i="10"/>
  <c r="G135" i="10" s="1"/>
  <c r="H134" i="10"/>
  <c r="I134" i="10" s="1"/>
  <c r="F134" i="10"/>
  <c r="G134" i="10" s="1"/>
  <c r="H133" i="10"/>
  <c r="I133" i="10" s="1"/>
  <c r="F133" i="10"/>
  <c r="G133" i="10" s="1"/>
  <c r="H132" i="10"/>
  <c r="I132" i="10" s="1"/>
  <c r="F132" i="10"/>
  <c r="G132" i="10" s="1"/>
  <c r="H131" i="10"/>
  <c r="I131" i="10" s="1"/>
  <c r="F131" i="10"/>
  <c r="G131" i="10" s="1"/>
  <c r="H130" i="10"/>
  <c r="I130" i="10" s="1"/>
  <c r="F130" i="10"/>
  <c r="G130" i="10" s="1"/>
  <c r="H129" i="10"/>
  <c r="I129" i="10" s="1"/>
  <c r="F129" i="10"/>
  <c r="G129" i="10" s="1"/>
  <c r="H128" i="10"/>
  <c r="I128" i="10" s="1"/>
  <c r="F128" i="10"/>
  <c r="G128" i="10" s="1"/>
  <c r="H127" i="10"/>
  <c r="I127" i="10" s="1"/>
  <c r="F127" i="10"/>
  <c r="G127" i="10" s="1"/>
  <c r="H126" i="10"/>
  <c r="I126" i="10" s="1"/>
  <c r="F126" i="10"/>
  <c r="G126" i="10" s="1"/>
  <c r="H125" i="10"/>
  <c r="I125" i="10" s="1"/>
  <c r="F125" i="10"/>
  <c r="G125" i="10" s="1"/>
  <c r="H124" i="10"/>
  <c r="I124" i="10" s="1"/>
  <c r="F124" i="10"/>
  <c r="G124" i="10" s="1"/>
  <c r="H123" i="10"/>
  <c r="I123" i="10" s="1"/>
  <c r="F123" i="10"/>
  <c r="G123" i="10" s="1"/>
  <c r="H122" i="10"/>
  <c r="I122" i="10" s="1"/>
  <c r="G122" i="10"/>
  <c r="H121" i="10"/>
  <c r="I121" i="10" s="1"/>
  <c r="F121" i="10"/>
  <c r="G121" i="10" s="1"/>
  <c r="H120" i="10"/>
  <c r="I120" i="10" s="1"/>
  <c r="F120" i="10"/>
  <c r="G120" i="10" s="1"/>
  <c r="H119" i="10"/>
  <c r="I119" i="10" s="1"/>
  <c r="F119" i="10"/>
  <c r="G119" i="10" s="1"/>
  <c r="H118" i="10"/>
  <c r="I118" i="10" s="1"/>
  <c r="F118" i="10"/>
  <c r="G118" i="10" s="1"/>
  <c r="H117" i="10"/>
  <c r="I117" i="10" s="1"/>
  <c r="F117" i="10"/>
  <c r="G117" i="10" s="1"/>
  <c r="H116" i="10"/>
  <c r="I116" i="10" s="1"/>
  <c r="F116" i="10"/>
  <c r="G116" i="10" s="1"/>
  <c r="H115" i="10"/>
  <c r="I115" i="10" s="1"/>
  <c r="F115" i="10"/>
  <c r="G115" i="10" s="1"/>
  <c r="H114" i="10"/>
  <c r="I114" i="10" s="1"/>
  <c r="F114" i="10"/>
  <c r="G114" i="10" s="1"/>
  <c r="H113" i="10"/>
  <c r="I113" i="10" s="1"/>
  <c r="F113" i="10"/>
  <c r="G113" i="10" s="1"/>
  <c r="H112" i="10"/>
  <c r="I112" i="10" s="1"/>
  <c r="F112" i="10"/>
  <c r="G112" i="10" s="1"/>
  <c r="H111" i="10"/>
  <c r="I111" i="10" s="1"/>
  <c r="F111" i="10"/>
  <c r="G111" i="10" s="1"/>
  <c r="H110" i="10"/>
  <c r="I110" i="10" s="1"/>
  <c r="F110" i="10"/>
  <c r="G110" i="10" s="1"/>
  <c r="H109" i="10"/>
  <c r="I109" i="10" s="1"/>
  <c r="F109" i="10"/>
  <c r="G109" i="10" s="1"/>
  <c r="H108" i="10"/>
  <c r="I108" i="10" s="1"/>
  <c r="F108" i="10"/>
  <c r="G108" i="10" s="1"/>
  <c r="H107" i="10"/>
  <c r="I107" i="10" s="1"/>
  <c r="F107" i="10"/>
  <c r="G107" i="10" s="1"/>
  <c r="H106" i="10"/>
  <c r="I106" i="10" s="1"/>
  <c r="F106" i="10"/>
  <c r="G106" i="10" s="1"/>
  <c r="H105" i="10"/>
  <c r="I105" i="10" s="1"/>
  <c r="F105" i="10"/>
  <c r="G105" i="10" s="1"/>
  <c r="H104" i="10"/>
  <c r="I104" i="10" s="1"/>
  <c r="F104" i="10"/>
  <c r="G104" i="10" s="1"/>
  <c r="H103" i="10"/>
  <c r="I103" i="10" s="1"/>
  <c r="F103" i="10"/>
  <c r="G103" i="10" s="1"/>
  <c r="H102" i="10"/>
  <c r="I102" i="10" s="1"/>
  <c r="F102" i="10"/>
  <c r="G102" i="10" s="1"/>
  <c r="H101" i="10"/>
  <c r="I101" i="10" s="1"/>
  <c r="F101" i="10"/>
  <c r="G101" i="10" s="1"/>
  <c r="H100" i="10"/>
  <c r="I100" i="10" s="1"/>
  <c r="F100" i="10"/>
  <c r="G100" i="10" s="1"/>
  <c r="H99" i="10"/>
  <c r="I99" i="10" s="1"/>
  <c r="F99" i="10"/>
  <c r="G99" i="10" s="1"/>
  <c r="H98" i="10"/>
  <c r="I98" i="10" s="1"/>
  <c r="F98" i="10"/>
  <c r="G98" i="10" s="1"/>
  <c r="H97" i="10"/>
  <c r="I97" i="10" s="1"/>
  <c r="F97" i="10"/>
  <c r="G97" i="10" s="1"/>
  <c r="H96" i="10"/>
  <c r="I96" i="10" s="1"/>
  <c r="F96" i="10"/>
  <c r="G96" i="10" s="1"/>
  <c r="H95" i="10"/>
  <c r="I95" i="10" s="1"/>
  <c r="F95" i="10"/>
  <c r="G95" i="10" s="1"/>
  <c r="H94" i="10"/>
  <c r="I94" i="10" s="1"/>
  <c r="F94" i="10"/>
  <c r="G94" i="10" s="1"/>
  <c r="H93" i="10"/>
  <c r="I93" i="10" s="1"/>
  <c r="F93" i="10"/>
  <c r="G93" i="10" s="1"/>
  <c r="H92" i="10"/>
  <c r="I92" i="10" s="1"/>
  <c r="F92" i="10"/>
  <c r="G92" i="10" s="1"/>
  <c r="H91" i="10"/>
  <c r="I91" i="10" s="1"/>
  <c r="F91" i="10"/>
  <c r="G91" i="10" s="1"/>
  <c r="H90" i="10"/>
  <c r="I90" i="10" s="1"/>
  <c r="F90" i="10"/>
  <c r="G90" i="10" s="1"/>
  <c r="H89" i="10"/>
  <c r="I89" i="10" s="1"/>
  <c r="F89" i="10"/>
  <c r="G89" i="10" s="1"/>
  <c r="H88" i="10"/>
  <c r="I88" i="10" s="1"/>
  <c r="F88" i="10"/>
  <c r="G88" i="10" s="1"/>
  <c r="H87" i="10"/>
  <c r="I87" i="10" s="1"/>
  <c r="F87" i="10"/>
  <c r="G87" i="10" s="1"/>
  <c r="H86" i="10"/>
  <c r="I86" i="10" s="1"/>
  <c r="F86" i="10"/>
  <c r="G86" i="10" s="1"/>
  <c r="H85" i="10"/>
  <c r="I85" i="10" s="1"/>
  <c r="F85" i="10"/>
  <c r="G85" i="10" s="1"/>
  <c r="H84" i="10"/>
  <c r="I84" i="10" s="1"/>
  <c r="F84" i="10"/>
  <c r="G84" i="10" s="1"/>
  <c r="H83" i="10"/>
  <c r="I83" i="10" s="1"/>
  <c r="F83" i="10"/>
  <c r="G83" i="10" s="1"/>
  <c r="H82" i="10"/>
  <c r="I82" i="10" s="1"/>
  <c r="G82" i="10"/>
  <c r="H81" i="10"/>
  <c r="I81" i="10" s="1"/>
  <c r="F81" i="10"/>
  <c r="G81" i="10" s="1"/>
  <c r="H80" i="10"/>
  <c r="I80" i="10" s="1"/>
  <c r="F80" i="10"/>
  <c r="G80" i="10" s="1"/>
  <c r="H79" i="10"/>
  <c r="I79" i="10" s="1"/>
  <c r="F79" i="10"/>
  <c r="G79" i="10" s="1"/>
  <c r="H78" i="10"/>
  <c r="I78" i="10" s="1"/>
  <c r="F78" i="10"/>
  <c r="G78" i="10" s="1"/>
  <c r="H77" i="10"/>
  <c r="I77" i="10" s="1"/>
  <c r="F77" i="10"/>
  <c r="G77" i="10" s="1"/>
  <c r="H76" i="10"/>
  <c r="I76" i="10" s="1"/>
  <c r="F76" i="10"/>
  <c r="G76" i="10" s="1"/>
  <c r="H75" i="10"/>
  <c r="I75" i="10" s="1"/>
  <c r="F75" i="10"/>
  <c r="G75" i="10" s="1"/>
  <c r="H74" i="10"/>
  <c r="I74" i="10" s="1"/>
  <c r="F74" i="10"/>
  <c r="G74" i="10" s="1"/>
  <c r="H73" i="10"/>
  <c r="I73" i="10" s="1"/>
  <c r="F73" i="10"/>
  <c r="G73" i="10" s="1"/>
  <c r="H72" i="10"/>
  <c r="I72" i="10" s="1"/>
  <c r="F72" i="10"/>
  <c r="G72" i="10" s="1"/>
  <c r="H71" i="10"/>
  <c r="I71" i="10" s="1"/>
  <c r="F71" i="10"/>
  <c r="G71" i="10" s="1"/>
  <c r="H70" i="10"/>
  <c r="I70" i="10" s="1"/>
  <c r="F70" i="10"/>
  <c r="G70" i="10" s="1"/>
  <c r="H69" i="10"/>
  <c r="I69" i="10" s="1"/>
  <c r="F69" i="10"/>
  <c r="G69" i="10" s="1"/>
  <c r="H68" i="10"/>
  <c r="I68" i="10" s="1"/>
  <c r="F68" i="10"/>
  <c r="G68" i="10" s="1"/>
  <c r="H67" i="10"/>
  <c r="I67" i="10" s="1"/>
  <c r="F67" i="10"/>
  <c r="G67" i="10" s="1"/>
  <c r="H66" i="10"/>
  <c r="I66" i="10" s="1"/>
  <c r="F66" i="10"/>
  <c r="G66" i="10" s="1"/>
  <c r="H65" i="10"/>
  <c r="I65" i="10" s="1"/>
  <c r="F65" i="10"/>
  <c r="G65" i="10" s="1"/>
  <c r="H64" i="10"/>
  <c r="I64" i="10" s="1"/>
  <c r="F64" i="10"/>
  <c r="G64" i="10" s="1"/>
  <c r="H63" i="10"/>
  <c r="I63" i="10" s="1"/>
  <c r="F63" i="10"/>
  <c r="G63" i="10" s="1"/>
  <c r="H62" i="10"/>
  <c r="I62" i="10" s="1"/>
  <c r="F62" i="10"/>
  <c r="G62" i="10" s="1"/>
  <c r="H61" i="10"/>
  <c r="I61" i="10" s="1"/>
  <c r="F61" i="10"/>
  <c r="G61" i="10" s="1"/>
  <c r="H60" i="10"/>
  <c r="I60" i="10" s="1"/>
  <c r="F60" i="10"/>
  <c r="G60" i="10" s="1"/>
  <c r="H59" i="10"/>
  <c r="I59" i="10" s="1"/>
  <c r="F59" i="10"/>
  <c r="G59" i="10" s="1"/>
  <c r="H58" i="10"/>
  <c r="I58" i="10" s="1"/>
  <c r="F58" i="10"/>
  <c r="G58" i="10" s="1"/>
  <c r="H57" i="10"/>
  <c r="I57" i="10" s="1"/>
  <c r="F57" i="10"/>
  <c r="G57" i="10" s="1"/>
  <c r="H56" i="10"/>
  <c r="I56" i="10" s="1"/>
  <c r="F56" i="10"/>
  <c r="G56" i="10" s="1"/>
  <c r="H55" i="10"/>
  <c r="I55" i="10" s="1"/>
  <c r="F55" i="10"/>
  <c r="G55" i="10" s="1"/>
  <c r="H54" i="10"/>
  <c r="I54" i="10" s="1"/>
  <c r="F54" i="10"/>
  <c r="G54" i="10" s="1"/>
  <c r="H53" i="10"/>
  <c r="I53" i="10" s="1"/>
  <c r="F53" i="10"/>
  <c r="G53" i="10" s="1"/>
  <c r="H52" i="10"/>
  <c r="I52" i="10" s="1"/>
  <c r="F52" i="10"/>
  <c r="G52" i="10" s="1"/>
  <c r="H51" i="10"/>
  <c r="I51" i="10" s="1"/>
  <c r="F51" i="10"/>
  <c r="G51" i="10" s="1"/>
  <c r="H50" i="10"/>
  <c r="I50" i="10" s="1"/>
  <c r="F50" i="10"/>
  <c r="G50" i="10" s="1"/>
  <c r="H49" i="10"/>
  <c r="I49" i="10" s="1"/>
  <c r="F49" i="10"/>
  <c r="G49" i="10" s="1"/>
  <c r="H48" i="10"/>
  <c r="I48" i="10" s="1"/>
  <c r="F48" i="10"/>
  <c r="G48" i="10" s="1"/>
  <c r="H47" i="10"/>
  <c r="I47" i="10" s="1"/>
  <c r="F47" i="10"/>
  <c r="G47" i="10" s="1"/>
  <c r="H46" i="10"/>
  <c r="I46" i="10" s="1"/>
  <c r="F46" i="10"/>
  <c r="G46" i="10" s="1"/>
  <c r="H45" i="10"/>
  <c r="I45" i="10" s="1"/>
  <c r="F45" i="10"/>
  <c r="G45" i="10" s="1"/>
  <c r="H44" i="10"/>
  <c r="I44" i="10" s="1"/>
  <c r="F44" i="10"/>
  <c r="G44" i="10" s="1"/>
  <c r="H43" i="10"/>
  <c r="I43" i="10" s="1"/>
  <c r="F43" i="10"/>
  <c r="G43" i="10" s="1"/>
  <c r="H42" i="10"/>
  <c r="I42" i="10" s="1"/>
  <c r="G42" i="10"/>
  <c r="H41" i="10"/>
  <c r="I41" i="10" s="1"/>
  <c r="F41" i="10"/>
  <c r="G41" i="10" s="1"/>
  <c r="H40" i="10"/>
  <c r="I40" i="10" s="1"/>
  <c r="F40" i="10"/>
  <c r="G40" i="10" s="1"/>
  <c r="H39" i="10"/>
  <c r="I39" i="10" s="1"/>
  <c r="F39" i="10"/>
  <c r="G39" i="10" s="1"/>
  <c r="H38" i="10"/>
  <c r="I38" i="10" s="1"/>
  <c r="F38" i="10"/>
  <c r="G38" i="10" s="1"/>
  <c r="H37" i="10"/>
  <c r="I37" i="10" s="1"/>
  <c r="F37" i="10"/>
  <c r="G37" i="10" s="1"/>
  <c r="H36" i="10"/>
  <c r="I36" i="10" s="1"/>
  <c r="F36" i="10"/>
  <c r="G36" i="10" s="1"/>
  <c r="H35" i="10"/>
  <c r="I35" i="10" s="1"/>
  <c r="F35" i="10"/>
  <c r="G35" i="10" s="1"/>
  <c r="H34" i="10"/>
  <c r="I34" i="10" s="1"/>
  <c r="F34" i="10"/>
  <c r="G34" i="10" s="1"/>
  <c r="H33" i="10"/>
  <c r="I33" i="10" s="1"/>
  <c r="F33" i="10"/>
  <c r="G33" i="10" s="1"/>
  <c r="H32" i="10"/>
  <c r="I32" i="10" s="1"/>
  <c r="F32" i="10"/>
  <c r="G32" i="10" s="1"/>
  <c r="H31" i="10"/>
  <c r="I31" i="10" s="1"/>
  <c r="F31" i="10"/>
  <c r="G31" i="10" s="1"/>
  <c r="H30" i="10"/>
  <c r="I30" i="10" s="1"/>
  <c r="F30" i="10"/>
  <c r="G30" i="10" s="1"/>
  <c r="H29" i="10"/>
  <c r="I29" i="10" s="1"/>
  <c r="F29" i="10"/>
  <c r="G29" i="10" s="1"/>
  <c r="H28" i="10"/>
  <c r="I28" i="10" s="1"/>
  <c r="F28" i="10"/>
  <c r="G28" i="10" s="1"/>
  <c r="H27" i="10"/>
  <c r="I27" i="10" s="1"/>
  <c r="F27" i="10"/>
  <c r="G27" i="10" s="1"/>
  <c r="H26" i="10"/>
  <c r="I26" i="10" s="1"/>
  <c r="F26" i="10"/>
  <c r="G26" i="10" s="1"/>
  <c r="H25" i="10"/>
  <c r="I25" i="10" s="1"/>
  <c r="F25" i="10"/>
  <c r="G25" i="10" s="1"/>
  <c r="H24" i="10"/>
  <c r="I24" i="10" s="1"/>
  <c r="F24" i="10"/>
  <c r="G24" i="10" s="1"/>
  <c r="H23" i="10"/>
  <c r="I23" i="10" s="1"/>
  <c r="F23" i="10"/>
  <c r="G23" i="10" s="1"/>
  <c r="H22" i="10"/>
  <c r="I22" i="10" s="1"/>
  <c r="F22" i="10"/>
  <c r="G22" i="10" s="1"/>
  <c r="H21" i="10"/>
  <c r="I21" i="10" s="1"/>
  <c r="F21" i="10"/>
  <c r="G21" i="10" s="1"/>
  <c r="H20" i="10"/>
  <c r="I20" i="10" s="1"/>
  <c r="F20" i="10"/>
  <c r="G20" i="10" s="1"/>
  <c r="H19" i="10"/>
  <c r="I19" i="10" s="1"/>
  <c r="F19" i="10"/>
  <c r="G19" i="10" s="1"/>
  <c r="H18" i="10"/>
  <c r="I18" i="10" s="1"/>
  <c r="F18" i="10"/>
  <c r="G18" i="10" s="1"/>
  <c r="H17" i="10"/>
  <c r="I17" i="10" s="1"/>
  <c r="F17" i="10"/>
  <c r="G17" i="10" s="1"/>
  <c r="H16" i="10"/>
  <c r="I16" i="10" s="1"/>
  <c r="F16" i="10"/>
  <c r="G16" i="10" s="1"/>
  <c r="H15" i="10"/>
  <c r="I15" i="10" s="1"/>
  <c r="F15" i="10"/>
  <c r="G15" i="10" s="1"/>
  <c r="H14" i="10"/>
  <c r="I14" i="10" s="1"/>
  <c r="F14" i="10"/>
  <c r="G14" i="10" s="1"/>
  <c r="H13" i="10"/>
  <c r="I13" i="10" s="1"/>
  <c r="F13" i="10"/>
  <c r="G13" i="10" s="1"/>
  <c r="H12" i="10"/>
  <c r="I12" i="10" s="1"/>
  <c r="F12" i="10"/>
  <c r="G12" i="10" s="1"/>
  <c r="H11" i="10"/>
  <c r="I11" i="10" s="1"/>
  <c r="F11" i="10"/>
  <c r="G11" i="10" s="1"/>
  <c r="H10" i="10"/>
  <c r="I10" i="10" s="1"/>
  <c r="F10" i="10"/>
  <c r="G10" i="10" s="1"/>
  <c r="H9" i="10"/>
  <c r="I9" i="10" s="1"/>
  <c r="F9" i="10"/>
  <c r="G9" i="10" s="1"/>
  <c r="H8" i="10"/>
  <c r="I8" i="10" s="1"/>
  <c r="F8" i="10"/>
  <c r="G8" i="10" s="1"/>
  <c r="H7" i="10"/>
  <c r="I7" i="10" s="1"/>
  <c r="F7" i="10"/>
  <c r="G7" i="10" s="1"/>
  <c r="H6" i="10"/>
  <c r="I6" i="10" s="1"/>
  <c r="F6" i="10"/>
  <c r="G6" i="10" s="1"/>
  <c r="H5" i="10"/>
  <c r="I5" i="10" s="1"/>
  <c r="F5" i="10"/>
  <c r="G5" i="10" s="1"/>
  <c r="H4" i="10"/>
  <c r="I4" i="10" s="1"/>
  <c r="F4" i="10"/>
  <c r="G4" i="10" s="1"/>
  <c r="H3" i="10"/>
  <c r="I3" i="10" s="1"/>
  <c r="F3" i="10"/>
  <c r="G3" i="10" s="1"/>
  <c r="H2" i="10"/>
  <c r="I2" i="10" s="1"/>
  <c r="G2" i="10"/>
  <c r="T14" i="10" l="1"/>
  <c r="Q14" i="10"/>
  <c r="Q22" i="10"/>
  <c r="Q9" i="10"/>
  <c r="Q15" i="10"/>
  <c r="Q26" i="10"/>
  <c r="Q13" i="10"/>
  <c r="Q25" i="10"/>
  <c r="Q12" i="10"/>
  <c r="Q11" i="10"/>
  <c r="Q10" i="10"/>
  <c r="AB10" i="10" s="1"/>
  <c r="Q33" i="10"/>
  <c r="Q21" i="10"/>
  <c r="Q8" i="10"/>
  <c r="Q32" i="10"/>
  <c r="Q20" i="10"/>
  <c r="Q7" i="10"/>
  <c r="Q31" i="10"/>
  <c r="Q19" i="10"/>
  <c r="Q6" i="10"/>
  <c r="AB8" i="10" s="1"/>
  <c r="Q30" i="10"/>
  <c r="Q18" i="10"/>
  <c r="Q5" i="10"/>
  <c r="Q29" i="10"/>
  <c r="Q17" i="10"/>
  <c r="Q4" i="10"/>
  <c r="Q28" i="10"/>
  <c r="Q16" i="10"/>
  <c r="O3" i="10"/>
  <c r="Q27" i="10"/>
  <c r="Q24" i="10"/>
  <c r="Q23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AB29" i="10" s="1"/>
  <c r="T15" i="10"/>
  <c r="T13" i="10"/>
  <c r="T12" i="10"/>
  <c r="AB27" i="10" s="1"/>
  <c r="T11" i="10"/>
  <c r="T10" i="10"/>
  <c r="T9" i="10"/>
  <c r="T8" i="10"/>
  <c r="T7" i="10"/>
  <c r="T6" i="10"/>
  <c r="AB24" i="10" s="1"/>
  <c r="T5" i="10"/>
  <c r="T4" i="10"/>
  <c r="R3" i="10"/>
  <c r="AB30" i="10" l="1"/>
  <c r="AB25" i="10"/>
  <c r="T28" i="10"/>
  <c r="AB23" i="10"/>
  <c r="X22" i="10"/>
  <c r="X23" i="10" s="1"/>
  <c r="AB26" i="10"/>
  <c r="AB28" i="10"/>
  <c r="AB11" i="10"/>
  <c r="AB7" i="10"/>
  <c r="Q35" i="10"/>
  <c r="AB9" i="10"/>
  <c r="AB12" i="10"/>
  <c r="AB31" i="10" l="1"/>
  <c r="AC30" i="10"/>
  <c r="AD30" i="10" s="1"/>
  <c r="AC24" i="10"/>
  <c r="AD24" i="10" s="1"/>
  <c r="AC25" i="10"/>
  <c r="AD25" i="10" s="1"/>
  <c r="AC26" i="10"/>
  <c r="AD26" i="10" s="1"/>
  <c r="AC27" i="10"/>
  <c r="AD27" i="10" s="1"/>
  <c r="AC28" i="10"/>
  <c r="AD28" i="10" s="1"/>
  <c r="AC29" i="10"/>
  <c r="AD29" i="10" s="1"/>
  <c r="AC23" i="10"/>
  <c r="AD23" i="10" s="1"/>
  <c r="AD31" i="10" s="1"/>
  <c r="AC31" i="10"/>
  <c r="X6" i="10"/>
  <c r="AB13" i="10"/>
  <c r="AC9" i="10" l="1"/>
  <c r="AD9" i="10" s="1"/>
  <c r="AC12" i="10"/>
  <c r="AC7" i="10"/>
  <c r="AC8" i="10"/>
  <c r="AD8" i="10" s="1"/>
  <c r="AD7" i="10"/>
  <c r="AD12" i="10"/>
  <c r="AC11" i="10"/>
  <c r="AD11" i="10" s="1"/>
  <c r="AC10" i="10"/>
  <c r="AD10" i="10" s="1"/>
  <c r="AD13" i="10" l="1"/>
</calcChain>
</file>

<file path=xl/sharedStrings.xml><?xml version="1.0" encoding="utf-8"?>
<sst xmlns="http://schemas.openxmlformats.org/spreadsheetml/2006/main" count="295" uniqueCount="45">
  <si>
    <t>Day</t>
  </si>
  <si>
    <t>Patient</t>
  </si>
  <si>
    <t>Arrival_Time</t>
  </si>
  <si>
    <t>Service_Start_Time</t>
  </si>
  <si>
    <t>Service_End_Time</t>
  </si>
  <si>
    <t>Interarrival</t>
  </si>
  <si>
    <t>Interarrival Int</t>
  </si>
  <si>
    <t>Service Duration</t>
  </si>
  <si>
    <t>Service Int</t>
  </si>
  <si>
    <t>Priority</t>
  </si>
  <si>
    <t>Chi Square Distribution</t>
  </si>
  <si>
    <t>On InterArrival</t>
  </si>
  <si>
    <t>Low</t>
  </si>
  <si>
    <t>max</t>
  </si>
  <si>
    <t>InterArrival Count</t>
  </si>
  <si>
    <t>Service Counts</t>
  </si>
  <si>
    <t>ho: Data follows Exponential Distribution</t>
  </si>
  <si>
    <t>x</t>
  </si>
  <si>
    <t>count</t>
  </si>
  <si>
    <t>h1: Data does not follow Exponential Distribution</t>
  </si>
  <si>
    <t>High</t>
  </si>
  <si>
    <t>𝑥̄ =</t>
  </si>
  <si>
    <t xml:space="preserve">λ = </t>
  </si>
  <si>
    <t>Class</t>
  </si>
  <si>
    <t>Lower Bound</t>
  </si>
  <si>
    <t>Upper Bound</t>
  </si>
  <si>
    <t>Obs Frequency</t>
  </si>
  <si>
    <t>Expected Frequency</t>
  </si>
  <si>
    <t>Chi Sq Calc</t>
  </si>
  <si>
    <t>InterArr Mean</t>
  </si>
  <si>
    <t>inf</t>
  </si>
  <si>
    <t>Chi-Sq @5%</t>
  </si>
  <si>
    <t>df= 6-1-1=4</t>
  </si>
  <si>
    <t>Result</t>
  </si>
  <si>
    <t>since Cal&lt;Tab, We failed to reject Ho so that data follows exponential Distribution</t>
  </si>
  <si>
    <t xml:space="preserve">Chi Square Distribution </t>
  </si>
  <si>
    <t>On Service</t>
  </si>
  <si>
    <t>ho: Data follows Exponential Distrribution</t>
  </si>
  <si>
    <t>Obs Freq</t>
  </si>
  <si>
    <t>Exp Freq</t>
  </si>
  <si>
    <t>Chi Sq</t>
  </si>
  <si>
    <t>df= 8-1-1=6</t>
  </si>
  <si>
    <t>low</t>
  </si>
  <si>
    <t>high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</si>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</sst>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2"/>
      <name val="Arial"/>
      <family val="2"/>
    </font>
    <font>
      <b/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Border="1"/>
    <xf numFmtId="0" fontId="3" fillId="3" borderId="2" xfId="0" applyFont="1" applyFill="1" applyBorder="1"/>
    <xf numFmtId="0" fontId="3" fillId="3" borderId="3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3" fillId="3" borderId="0" xfId="0" applyFont="1" applyFill="1" applyBorder="1"/>
    <xf numFmtId="0" fontId="0" fillId="0" borderId="0" xfId="0" applyFont="1" applyFill="1" applyBorder="1"/>
    <xf numFmtId="0" fontId="0" fillId="0" borderId="4" xfId="0" applyFont="1" applyFill="1" applyBorder="1"/>
    <xf numFmtId="0" fontId="0" fillId="4" borderId="0" xfId="0" applyFont="1" applyFill="1" applyBorder="1"/>
    <xf numFmtId="0" fontId="0" fillId="4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8" xfId="0" applyFont="1" applyBorder="1" applyAlignment="1">
      <alignment vertical="center" readingOrder="1"/>
    </xf>
    <xf numFmtId="0" fontId="2" fillId="2" borderId="8" xfId="0" applyFont="1" applyFill="1" applyBorder="1"/>
    <xf numFmtId="0" fontId="0" fillId="2" borderId="0" xfId="0" applyFill="1" applyBorder="1"/>
    <xf numFmtId="164" fontId="0" fillId="0" borderId="0" xfId="0" applyNumberFormat="1" applyBorder="1"/>
    <xf numFmtId="0" fontId="0" fillId="0" borderId="10" xfId="0" applyBorder="1"/>
    <xf numFmtId="0" fontId="0" fillId="0" borderId="11" xfId="0" applyBorder="1"/>
    <xf numFmtId="0" fontId="0" fillId="5" borderId="11" xfId="0" applyFill="1" applyBorder="1"/>
    <xf numFmtId="0" fontId="4" fillId="5" borderId="0" xfId="0" applyFont="1" applyFill="1"/>
    <xf numFmtId="0" fontId="0" fillId="5" borderId="5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2" xfId="0" applyFill="1" applyBorder="1"/>
    <xf numFmtId="0" fontId="0" fillId="0" borderId="13" xfId="0" applyBorder="1"/>
    <xf numFmtId="0" fontId="0" fillId="5" borderId="14" xfId="0" applyFill="1" applyBorder="1"/>
    <xf numFmtId="0" fontId="0" fillId="6" borderId="0" xfId="0" applyFill="1"/>
    <xf numFmtId="0" fontId="5" fillId="0" borderId="0" xfId="0" applyFont="1"/>
    <xf numFmtId="0" fontId="0" fillId="6" borderId="1" xfId="0" applyFill="1" applyBorder="1"/>
    <xf numFmtId="0" fontId="0" fillId="7" borderId="8" xfId="0" applyFill="1" applyBorder="1" applyAlignment="1">
      <alignment wrapText="1"/>
    </xf>
    <xf numFmtId="0" fontId="0" fillId="7" borderId="15" xfId="0" applyFill="1" applyBorder="1" applyAlignment="1">
      <alignment wrapText="1"/>
    </xf>
    <xf numFmtId="0" fontId="0" fillId="7" borderId="10" xfId="0" applyFill="1" applyBorder="1" applyAlignment="1">
      <alignment wrapText="1"/>
    </xf>
    <xf numFmtId="0" fontId="0" fillId="8" borderId="0" xfId="0" applyFill="1" applyBorder="1"/>
    <xf numFmtId="0" fontId="0" fillId="8" borderId="1" xfId="0" applyFill="1" applyBorder="1"/>
    <xf numFmtId="0" fontId="0" fillId="8" borderId="11" xfId="0" applyFill="1" applyBorder="1"/>
    <xf numFmtId="20" fontId="0" fillId="7" borderId="0" xfId="0" applyNumberFormat="1" applyFill="1" applyBorder="1"/>
    <xf numFmtId="20" fontId="0" fillId="7" borderId="1" xfId="0" applyNumberFormat="1" applyFill="1" applyBorder="1"/>
    <xf numFmtId="20" fontId="0" fillId="7" borderId="11" xfId="0" applyNumberFormat="1" applyFill="1" applyBorder="1"/>
    <xf numFmtId="20" fontId="0" fillId="8" borderId="0" xfId="0" applyNumberFormat="1" applyFill="1" applyBorder="1"/>
    <xf numFmtId="20" fontId="0" fillId="8" borderId="1" xfId="0" applyNumberFormat="1" applyFill="1" applyBorder="1"/>
    <xf numFmtId="20" fontId="0" fillId="8" borderId="11" xfId="0" applyNumberFormat="1" applyFill="1" applyBorder="1"/>
    <xf numFmtId="20" fontId="6" fillId="8" borderId="0" xfId="0" applyNumberFormat="1" applyFont="1" applyFill="1" applyBorder="1"/>
    <xf numFmtId="20" fontId="6" fillId="8" borderId="1" xfId="0" applyNumberFormat="1" applyFont="1" applyFill="1" applyBorder="1"/>
    <xf numFmtId="20" fontId="6" fillId="8" borderId="11" xfId="0" applyNumberFormat="1" applyFont="1" applyFill="1" applyBorder="1"/>
    <xf numFmtId="0" fontId="0" fillId="7" borderId="0" xfId="0" applyFill="1" applyBorder="1"/>
    <xf numFmtId="0" fontId="0" fillId="7" borderId="1" xfId="0" applyFill="1" applyBorder="1"/>
    <xf numFmtId="0" fontId="0" fillId="7" borderId="11" xfId="0" applyFill="1" applyBorder="1"/>
    <xf numFmtId="0" fontId="0" fillId="8" borderId="9" xfId="0" applyFill="1" applyBorder="1"/>
    <xf numFmtId="0" fontId="0" fillId="8" borderId="16" xfId="0" applyFill="1" applyBorder="1"/>
    <xf numFmtId="0" fontId="0" fillId="8" borderId="12" xfId="0" applyFill="1" applyBorder="1"/>
    <xf numFmtId="0" fontId="7" fillId="9" borderId="5" xfId="0" applyFont="1" applyFill="1" applyBorder="1" applyAlignment="1">
      <alignment wrapText="1"/>
    </xf>
    <xf numFmtId="0" fontId="7" fillId="9" borderId="6" xfId="0" applyFont="1" applyFill="1" applyBorder="1"/>
    <xf numFmtId="0" fontId="7" fillId="9" borderId="7" xfId="0" applyFont="1" applyFill="1" applyBorder="1"/>
    <xf numFmtId="0" fontId="7" fillId="10" borderId="6" xfId="0" applyFont="1" applyFill="1" applyBorder="1"/>
    <xf numFmtId="0" fontId="8" fillId="10" borderId="6" xfId="0" applyFont="1" applyFill="1" applyBorder="1"/>
    <xf numFmtId="0" fontId="9" fillId="10" borderId="6" xfId="0" applyFont="1" applyFill="1" applyBorder="1"/>
    <xf numFmtId="0" fontId="0" fillId="6" borderId="0" xfId="0" applyFill="1" applyBorder="1"/>
    <xf numFmtId="0" fontId="0" fillId="6" borderId="11" xfId="0" applyFill="1" applyBorder="1"/>
    <xf numFmtId="0" fontId="0" fillId="6" borderId="12" xfId="0" applyFill="1" applyBorder="1"/>
    <xf numFmtId="0" fontId="6" fillId="11" borderId="11" xfId="0" applyFont="1" applyFill="1" applyBorder="1"/>
    <xf numFmtId="0" fontId="6" fillId="11" borderId="12" xfId="0" applyFont="1" applyFill="1" applyBorder="1"/>
    <xf numFmtId="0" fontId="0" fillId="11" borderId="11" xfId="0" applyFill="1" applyBorder="1"/>
    <xf numFmtId="0" fontId="0" fillId="11" borderId="12" xfId="0" applyFill="1" applyBorder="1"/>
  </cellXfs>
  <cellStyles count="1">
    <cellStyle name="Normal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4</xdr:row>
      <xdr:rowOff>0</xdr:rowOff>
    </xdr:from>
    <xdr:to>
      <xdr:col>22</xdr:col>
      <xdr:colOff>304800</xdr:colOff>
      <xdr:row>5</xdr:row>
      <xdr:rowOff>92982</xdr:rowOff>
    </xdr:to>
    <xdr:sp macro="" textlink="">
      <xdr:nvSpPr>
        <xdr:cNvPr id="1025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00000000-0008-0000-05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497965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22</xdr:col>
      <xdr:colOff>0</xdr:colOff>
      <xdr:row>21</xdr:row>
      <xdr:rowOff>0</xdr:rowOff>
    </xdr:from>
    <xdr:ext cx="304800" cy="296743"/>
    <xdr:sp macro="" textlink="">
      <xdr:nvSpPr>
        <xdr:cNvPr id="3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8676471" y="747059"/>
          <a:ext cx="304800" cy="296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21</xdr:row>
      <xdr:rowOff>0</xdr:rowOff>
    </xdr:from>
    <xdr:ext cx="304800" cy="296743"/>
    <xdr:sp macro="" textlink="">
      <xdr:nvSpPr>
        <xdr:cNvPr id="4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8676471" y="747059"/>
          <a:ext cx="304800" cy="296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Y6:AD13" totalsRowShown="0">
  <autoFilter ref="Y6:AD13" xr:uid="{00000000-0009-0000-0100-000001000000}"/>
  <tableColumns count="6">
    <tableColumn id="1" xr3:uid="{00000000-0010-0000-0000-000001000000}" name="Class"/>
    <tableColumn id="2" xr3:uid="{00000000-0010-0000-0000-000002000000}" name="Lower Bound"/>
    <tableColumn id="3" xr3:uid="{00000000-0010-0000-0000-000003000000}" name="Upper Bound"/>
    <tableColumn id="4" xr3:uid="{00000000-0010-0000-0000-000004000000}" name="Obs Frequency"/>
    <tableColumn id="5" xr3:uid="{00000000-0010-0000-0000-000005000000}" name="Expected Frequency" dataDxfId="2"/>
    <tableColumn id="6" xr3:uid="{00000000-0010-0000-0000-000006000000}" name="Chi Sq Cal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Y22:AD31" totalsRowShown="0" headerRowDxfId="1">
  <autoFilter ref="Y22:AD31" xr:uid="{00000000-0009-0000-0100-000002000000}"/>
  <tableColumns count="6">
    <tableColumn id="1" xr3:uid="{00000000-0010-0000-0100-000001000000}" name="Class"/>
    <tableColumn id="2" xr3:uid="{00000000-0010-0000-0100-000002000000}" name="Lower Bound"/>
    <tableColumn id="3" xr3:uid="{00000000-0010-0000-0100-000003000000}" name="Upper Bound"/>
    <tableColumn id="4" xr3:uid="{00000000-0010-0000-0100-000004000000}" name="Obs Freq"/>
    <tableColumn id="5" xr3:uid="{00000000-0010-0000-0100-000005000000}" name="Exp Freq" dataDxfId="0">
      <calculatedColumnFormula>$Q$35*(1-_xlfn.EXPON.DIST(Table2[[#This Row],[Lower Bound]],$X$23,TRUE))</calculatedColumnFormula>
    </tableColumn>
    <tableColumn id="6" xr3:uid="{00000000-0010-0000-0100-000006000000}" name="Chi Sq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41"/>
  <sheetViews>
    <sheetView tabSelected="1" topLeftCell="S1" zoomScale="70" zoomScaleNormal="70" workbookViewId="0">
      <selection activeCell="Z5" sqref="Z5"/>
    </sheetView>
  </sheetViews>
  <sheetFormatPr defaultRowHeight="14.45"/>
  <cols>
    <col min="3" max="3" width="16.28515625" customWidth="1"/>
    <col min="4" max="4" width="22.5703125" customWidth="1"/>
    <col min="5" max="5" width="20.42578125" customWidth="1"/>
    <col min="6" max="6" width="16.85546875" customWidth="1"/>
    <col min="7" max="7" width="17.5703125" customWidth="1"/>
    <col min="8" max="8" width="17.140625" customWidth="1"/>
    <col min="9" max="9" width="15.5703125" customWidth="1"/>
    <col min="10" max="10" width="18.28515625" customWidth="1"/>
    <col min="25" max="25" width="20" customWidth="1"/>
    <col min="26" max="27" width="14" customWidth="1"/>
    <col min="28" max="28" width="15.5703125" customWidth="1"/>
    <col min="29" max="29" width="20" customWidth="1"/>
    <col min="30" max="30" width="11.85546875" customWidth="1"/>
  </cols>
  <sheetData>
    <row r="1" spans="1:33" ht="15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60" t="s">
        <v>9</v>
      </c>
      <c r="W1" s="13"/>
      <c r="X1" s="14"/>
      <c r="Y1" s="61" t="s">
        <v>10</v>
      </c>
      <c r="Z1" s="61" t="s">
        <v>11</v>
      </c>
      <c r="AA1" s="14"/>
      <c r="AB1" s="14"/>
      <c r="AC1" s="14"/>
      <c r="AD1" s="14"/>
      <c r="AE1" s="14"/>
      <c r="AF1" s="15"/>
      <c r="AG1" s="1"/>
    </row>
    <row r="2" spans="1:33" ht="15">
      <c r="A2" s="37">
        <v>1</v>
      </c>
      <c r="B2" s="40">
        <v>1</v>
      </c>
      <c r="C2" s="43">
        <v>0.66666666666666663</v>
      </c>
      <c r="D2" s="46">
        <v>0.66666666666666663</v>
      </c>
      <c r="E2" s="43">
        <v>0.67500000000000004</v>
      </c>
      <c r="F2" s="49">
        <v>0</v>
      </c>
      <c r="G2" s="52">
        <f>MINUTE(F2)</f>
        <v>0</v>
      </c>
      <c r="H2" s="46">
        <f>E2-D2</f>
        <v>8.3333333333334147E-3</v>
      </c>
      <c r="I2" s="52">
        <f>MINUTE(H2)</f>
        <v>12</v>
      </c>
      <c r="J2" s="55" t="s">
        <v>12</v>
      </c>
      <c r="O2" s="34" t="s">
        <v>13</v>
      </c>
      <c r="P2" s="25" t="s">
        <v>14</v>
      </c>
      <c r="Q2" s="25"/>
      <c r="R2" s="34" t="s">
        <v>13</v>
      </c>
      <c r="S2" s="25" t="s">
        <v>15</v>
      </c>
      <c r="T2" s="25"/>
      <c r="W2" s="16"/>
      <c r="X2" s="1"/>
      <c r="Y2" s="1" t="s">
        <v>16</v>
      </c>
      <c r="Z2" s="1"/>
      <c r="AA2" s="1"/>
      <c r="AB2" s="1"/>
      <c r="AC2" s="1"/>
      <c r="AD2" s="1"/>
      <c r="AE2" s="1"/>
      <c r="AF2" s="17"/>
      <c r="AG2" s="1"/>
    </row>
    <row r="3" spans="1:33" ht="15">
      <c r="A3" s="37">
        <v>1</v>
      </c>
      <c r="B3" s="40">
        <v>2</v>
      </c>
      <c r="C3" s="43">
        <v>0.67013888888888884</v>
      </c>
      <c r="D3" s="46">
        <v>0.67500000000000004</v>
      </c>
      <c r="E3" s="43">
        <v>0.67569444444444449</v>
      </c>
      <c r="F3" s="49">
        <f>C3-C2</f>
        <v>3.4722222222222099E-3</v>
      </c>
      <c r="G3" s="52">
        <f t="shared" ref="G3:G66" si="0">MINUTE(F3)</f>
        <v>5</v>
      </c>
      <c r="H3" s="46">
        <f t="shared" ref="H3:H66" si="1">E3-D3</f>
        <v>6.9444444444444198E-4</v>
      </c>
      <c r="I3" s="52">
        <f t="shared" ref="I3:I66" si="2">MINUTE(H3)</f>
        <v>1</v>
      </c>
      <c r="J3" s="55" t="s">
        <v>12</v>
      </c>
      <c r="O3" s="34">
        <f>MAX(G2:G241)</f>
        <v>29</v>
      </c>
      <c r="P3" s="26" t="s">
        <v>17</v>
      </c>
      <c r="Q3" s="27" t="s">
        <v>18</v>
      </c>
      <c r="R3" s="34">
        <f>MAX(I2:I241)</f>
        <v>23</v>
      </c>
      <c r="S3" s="26" t="s">
        <v>17</v>
      </c>
      <c r="T3" s="27" t="s">
        <v>18</v>
      </c>
      <c r="W3" s="16"/>
      <c r="X3" s="1"/>
      <c r="Y3" s="1" t="s">
        <v>19</v>
      </c>
      <c r="Z3" s="1"/>
      <c r="AA3" s="1"/>
      <c r="AB3" s="1"/>
      <c r="AC3" s="1"/>
      <c r="AD3" s="1"/>
      <c r="AE3" s="1"/>
      <c r="AF3" s="17"/>
      <c r="AG3" s="1"/>
    </row>
    <row r="4" spans="1:33" ht="15">
      <c r="A4" s="37">
        <v>1</v>
      </c>
      <c r="B4" s="40">
        <v>3</v>
      </c>
      <c r="C4" s="43">
        <v>0.6791666666666667</v>
      </c>
      <c r="D4" s="46">
        <v>0.6791666666666667</v>
      </c>
      <c r="E4" s="43">
        <v>0.68125000000000002</v>
      </c>
      <c r="F4" s="49">
        <f t="shared" ref="F4:F41" si="3">C4-C3</f>
        <v>9.0277777777778567E-3</v>
      </c>
      <c r="G4" s="52">
        <f t="shared" si="0"/>
        <v>13</v>
      </c>
      <c r="H4" s="46">
        <f t="shared" si="1"/>
        <v>2.0833333333333259E-3</v>
      </c>
      <c r="I4" s="52">
        <f t="shared" si="2"/>
        <v>3</v>
      </c>
      <c r="J4" s="55" t="s">
        <v>12</v>
      </c>
      <c r="P4" s="28">
        <v>0</v>
      </c>
      <c r="Q4" s="29">
        <f>COUNTIF(G2:G241,0)</f>
        <v>43</v>
      </c>
      <c r="S4" s="28">
        <v>0</v>
      </c>
      <c r="T4" s="29">
        <f>COUNTIF(I2:I241,0)</f>
        <v>0</v>
      </c>
      <c r="W4" s="16"/>
      <c r="X4" s="1"/>
      <c r="Y4" s="1"/>
      <c r="Z4" s="1"/>
      <c r="AA4" s="1"/>
      <c r="AB4" s="1"/>
      <c r="AC4" s="1"/>
      <c r="AD4" s="1"/>
      <c r="AE4" s="1"/>
      <c r="AF4" s="17"/>
      <c r="AG4" s="1"/>
    </row>
    <row r="5" spans="1:33" ht="15.75">
      <c r="A5" s="37">
        <v>1</v>
      </c>
      <c r="B5" s="40">
        <v>4</v>
      </c>
      <c r="C5" s="43">
        <v>0.67986111111111114</v>
      </c>
      <c r="D5" s="46">
        <v>0.68125000000000002</v>
      </c>
      <c r="E5" s="43">
        <v>0.68333333333333335</v>
      </c>
      <c r="F5" s="49">
        <f t="shared" si="3"/>
        <v>6.9444444444444198E-4</v>
      </c>
      <c r="G5" s="52">
        <f t="shared" si="0"/>
        <v>1</v>
      </c>
      <c r="H5" s="46">
        <f t="shared" si="1"/>
        <v>2.0833333333333259E-3</v>
      </c>
      <c r="I5" s="52">
        <f t="shared" si="2"/>
        <v>3</v>
      </c>
      <c r="J5" s="55" t="s">
        <v>20</v>
      </c>
      <c r="P5" s="28">
        <v>1</v>
      </c>
      <c r="Q5" s="29">
        <f>COUNTIF(G2:G241,1)</f>
        <v>37</v>
      </c>
      <c r="S5" s="28">
        <v>1</v>
      </c>
      <c r="T5" s="29">
        <f>COUNTIF(I2:I241,1)</f>
        <v>71</v>
      </c>
      <c r="W5" s="18" t="s">
        <v>21</v>
      </c>
      <c r="X5" s="1">
        <f>SUMPRODUCT(P4:P33,Q4:Q33)/Q35</f>
        <v>4.8375000000000004</v>
      </c>
      <c r="Y5" s="1"/>
      <c r="Z5" s="1"/>
      <c r="AA5" s="1"/>
      <c r="AB5" s="1"/>
      <c r="AC5" s="1"/>
      <c r="AD5" s="1"/>
      <c r="AE5" s="1"/>
      <c r="AF5" s="17"/>
      <c r="AG5" s="1"/>
    </row>
    <row r="6" spans="1:33" ht="15.75">
      <c r="A6" s="37">
        <v>1</v>
      </c>
      <c r="B6" s="40">
        <v>5</v>
      </c>
      <c r="C6" s="43">
        <v>0.69027777777777777</v>
      </c>
      <c r="D6" s="46">
        <v>0.69027777777777777</v>
      </c>
      <c r="E6" s="43">
        <v>0.69097222222222221</v>
      </c>
      <c r="F6" s="49">
        <f t="shared" si="3"/>
        <v>1.041666666666663E-2</v>
      </c>
      <c r="G6" s="52">
        <f t="shared" si="0"/>
        <v>15</v>
      </c>
      <c r="H6" s="46">
        <f t="shared" si="1"/>
        <v>6.9444444444444198E-4</v>
      </c>
      <c r="I6" s="52">
        <f t="shared" si="2"/>
        <v>1</v>
      </c>
      <c r="J6" s="55" t="s">
        <v>12</v>
      </c>
      <c r="P6" s="28">
        <v>2</v>
      </c>
      <c r="Q6" s="29">
        <f>COUNTIF(G2:G241,2)</f>
        <v>33</v>
      </c>
      <c r="S6" s="28">
        <v>2</v>
      </c>
      <c r="T6" s="29">
        <f>COUNTIF(I2:I241,2)</f>
        <v>35</v>
      </c>
      <c r="W6" s="19" t="s">
        <v>22</v>
      </c>
      <c r="X6" s="20">
        <f>1/X5</f>
        <v>0.20671834625322996</v>
      </c>
      <c r="Y6" s="1" t="s">
        <v>23</v>
      </c>
      <c r="Z6" s="1" t="s">
        <v>24</v>
      </c>
      <c r="AA6" s="1" t="s">
        <v>25</v>
      </c>
      <c r="AB6" s="1" t="s">
        <v>26</v>
      </c>
      <c r="AC6" s="1" t="s">
        <v>27</v>
      </c>
      <c r="AD6" s="1" t="s">
        <v>28</v>
      </c>
      <c r="AE6" s="1"/>
      <c r="AF6" s="17"/>
      <c r="AG6" s="1"/>
    </row>
    <row r="7" spans="1:33" ht="15">
      <c r="A7" s="37">
        <v>1</v>
      </c>
      <c r="B7" s="40">
        <v>6</v>
      </c>
      <c r="C7" s="43">
        <v>0.69166666666666665</v>
      </c>
      <c r="D7" s="46">
        <v>0.69166666666666665</v>
      </c>
      <c r="E7" s="43">
        <v>0.70763888888888893</v>
      </c>
      <c r="F7" s="49">
        <f t="shared" si="3"/>
        <v>1.388888888888884E-3</v>
      </c>
      <c r="G7" s="52">
        <f t="shared" si="0"/>
        <v>2</v>
      </c>
      <c r="H7" s="46">
        <f t="shared" si="1"/>
        <v>1.5972222222222276E-2</v>
      </c>
      <c r="I7" s="52">
        <f t="shared" si="2"/>
        <v>23</v>
      </c>
      <c r="J7" s="55" t="s">
        <v>12</v>
      </c>
      <c r="P7" s="28">
        <v>3</v>
      </c>
      <c r="Q7" s="29">
        <f>COUNTIF(G2:G241,3)</f>
        <v>19</v>
      </c>
      <c r="S7" s="28">
        <v>3</v>
      </c>
      <c r="T7" s="29">
        <f>COUNTIF(I2:I241,3)</f>
        <v>24</v>
      </c>
      <c r="W7" s="16" t="s">
        <v>29</v>
      </c>
      <c r="X7" s="1"/>
      <c r="Y7" s="1">
        <v>0</v>
      </c>
      <c r="Z7" s="1">
        <v>0</v>
      </c>
      <c r="AA7" s="1">
        <v>2</v>
      </c>
      <c r="AB7" s="1">
        <f>SUM(Q4:Q5)</f>
        <v>80</v>
      </c>
      <c r="AC7" s="21">
        <f>$Q$35*(_xlfn.EXPON.DIST(AA7,$X$6,TRUE)-_xlfn.EXPON.DIST(Z7,$X$6,TRUE))</f>
        <v>81.270383292585464</v>
      </c>
      <c r="AD7" s="1">
        <f>((AB7-AC7)^2)/AC7</f>
        <v>1.9858079225123126E-2</v>
      </c>
      <c r="AE7" s="1"/>
      <c r="AF7" s="17"/>
      <c r="AG7" s="1"/>
    </row>
    <row r="8" spans="1:33" ht="15">
      <c r="A8" s="37">
        <v>1</v>
      </c>
      <c r="B8" s="40">
        <v>7</v>
      </c>
      <c r="C8" s="43">
        <v>0.69791666666666663</v>
      </c>
      <c r="D8" s="46">
        <v>0.71180555555555558</v>
      </c>
      <c r="E8" s="43">
        <v>0.71388888888888891</v>
      </c>
      <c r="F8" s="49">
        <f t="shared" si="3"/>
        <v>6.2499999999999778E-3</v>
      </c>
      <c r="G8" s="52">
        <f t="shared" si="0"/>
        <v>9</v>
      </c>
      <c r="H8" s="46">
        <f t="shared" si="1"/>
        <v>2.0833333333333259E-3</v>
      </c>
      <c r="I8" s="52">
        <f t="shared" si="2"/>
        <v>3</v>
      </c>
      <c r="J8" s="55" t="s">
        <v>12</v>
      </c>
      <c r="P8" s="28">
        <v>4</v>
      </c>
      <c r="Q8" s="29">
        <f>COUNTIF(G2:G241,4)</f>
        <v>12</v>
      </c>
      <c r="S8" s="28">
        <v>4</v>
      </c>
      <c r="T8" s="29">
        <f>COUNTIF(I2:I241,4)</f>
        <v>24</v>
      </c>
      <c r="W8" s="16"/>
      <c r="X8" s="1"/>
      <c r="Y8" s="1">
        <v>1</v>
      </c>
      <c r="Z8" s="1">
        <v>2</v>
      </c>
      <c r="AA8" s="1">
        <v>4</v>
      </c>
      <c r="AB8" s="1">
        <f>SUM(Q6:Q7)</f>
        <v>52</v>
      </c>
      <c r="AC8" s="21">
        <f>$Q$35*(_xlfn.EXPON.DIST(AA8,$X$6,TRUE)-_xlfn.EXPON.DIST(Z8,$X$6,TRUE))</f>
        <v>53.750069957069812</v>
      </c>
      <c r="AD8" s="1">
        <f t="shared" ref="AD8:AD12" si="4">((AB8-AC8)^2)/AC8</f>
        <v>5.6981225458581676E-2</v>
      </c>
      <c r="AE8" s="1"/>
      <c r="AF8" s="17"/>
      <c r="AG8" s="1"/>
    </row>
    <row r="9" spans="1:33" ht="15">
      <c r="A9" s="37">
        <v>1</v>
      </c>
      <c r="B9" s="40">
        <v>8</v>
      </c>
      <c r="C9" s="43">
        <v>0.70208333333333328</v>
      </c>
      <c r="D9" s="46">
        <v>0.70763888888888893</v>
      </c>
      <c r="E9" s="43">
        <v>0.70833333333333337</v>
      </c>
      <c r="F9" s="49">
        <f t="shared" si="3"/>
        <v>4.1666666666666519E-3</v>
      </c>
      <c r="G9" s="52">
        <f t="shared" si="0"/>
        <v>6</v>
      </c>
      <c r="H9" s="46">
        <f t="shared" si="1"/>
        <v>6.9444444444444198E-4</v>
      </c>
      <c r="I9" s="52">
        <f t="shared" si="2"/>
        <v>1</v>
      </c>
      <c r="J9" s="55" t="s">
        <v>20</v>
      </c>
      <c r="P9" s="28">
        <v>5</v>
      </c>
      <c r="Q9" s="29">
        <f>COUNTIF(G2:G241,5)</f>
        <v>15</v>
      </c>
      <c r="S9" s="28">
        <v>5</v>
      </c>
      <c r="T9" s="29">
        <f>COUNTIF(I2:I241,5)</f>
        <v>19</v>
      </c>
      <c r="W9" s="16"/>
      <c r="X9" s="1"/>
      <c r="Y9" s="1">
        <v>2</v>
      </c>
      <c r="Z9" s="1">
        <v>4</v>
      </c>
      <c r="AA9" s="1">
        <v>6</v>
      </c>
      <c r="AB9" s="1">
        <f>SUM(Q8:Q9)</f>
        <v>27</v>
      </c>
      <c r="AC9" s="21">
        <f>$Q$35*(_xlfn.EXPON.DIST(AA9,$X$6,TRUE)-_xlfn.EXPON.DIST(Z9,$X$6,TRUE))</f>
        <v>35.548866676176722</v>
      </c>
      <c r="AD9" s="1">
        <f t="shared" si="4"/>
        <v>2.0558495468442572</v>
      </c>
      <c r="AE9" s="1"/>
      <c r="AF9" s="17"/>
      <c r="AG9" s="1"/>
    </row>
    <row r="10" spans="1:33" ht="15">
      <c r="A10" s="37">
        <v>1</v>
      </c>
      <c r="B10" s="40">
        <v>9</v>
      </c>
      <c r="C10" s="43">
        <v>0.70763888888888893</v>
      </c>
      <c r="D10" s="46">
        <v>0.70833333333333337</v>
      </c>
      <c r="E10" s="43">
        <v>0.71180555555555558</v>
      </c>
      <c r="F10" s="49">
        <f t="shared" si="3"/>
        <v>5.5555555555556468E-3</v>
      </c>
      <c r="G10" s="52">
        <f t="shared" si="0"/>
        <v>8</v>
      </c>
      <c r="H10" s="46">
        <f t="shared" si="1"/>
        <v>3.4722222222222099E-3</v>
      </c>
      <c r="I10" s="52">
        <f t="shared" si="2"/>
        <v>5</v>
      </c>
      <c r="J10" s="55" t="s">
        <v>20</v>
      </c>
      <c r="P10" s="28">
        <v>6</v>
      </c>
      <c r="Q10" s="29">
        <f>COUNTIF(G2:G241,6)</f>
        <v>13</v>
      </c>
      <c r="S10" s="28">
        <v>6</v>
      </c>
      <c r="T10" s="29">
        <f>COUNTIF(I2:I241,6)</f>
        <v>17</v>
      </c>
      <c r="W10" s="16"/>
      <c r="X10" s="1"/>
      <c r="Y10" s="1">
        <v>3</v>
      </c>
      <c r="Z10" s="1">
        <v>6</v>
      </c>
      <c r="AA10" s="1">
        <v>8</v>
      </c>
      <c r="AB10" s="1">
        <f>SUM(Q10:Q11)</f>
        <v>24</v>
      </c>
      <c r="AC10" s="21">
        <f>$Q$35*(_xlfn.EXPON.DIST(AA10,$X$6,TRUE)-_xlfn.EXPON.DIST(Z10,$X$6,TRUE))</f>
        <v>23.511074924552126</v>
      </c>
      <c r="AD10" s="1">
        <f t="shared" si="4"/>
        <v>1.0167452154732257E-2</v>
      </c>
      <c r="AE10" s="1"/>
      <c r="AF10" s="17"/>
      <c r="AG10" s="1"/>
    </row>
    <row r="11" spans="1:33" ht="15">
      <c r="A11" s="37">
        <v>1</v>
      </c>
      <c r="B11" s="40">
        <v>10</v>
      </c>
      <c r="C11" s="43">
        <v>0.70972222222222225</v>
      </c>
      <c r="D11" s="46">
        <v>0.71388888888888891</v>
      </c>
      <c r="E11" s="43">
        <v>0.71944444444444444</v>
      </c>
      <c r="F11" s="49">
        <f t="shared" si="3"/>
        <v>2.0833333333333259E-3</v>
      </c>
      <c r="G11" s="52">
        <f t="shared" si="0"/>
        <v>3</v>
      </c>
      <c r="H11" s="46">
        <f t="shared" si="1"/>
        <v>5.5555555555555358E-3</v>
      </c>
      <c r="I11" s="52">
        <f t="shared" si="2"/>
        <v>8</v>
      </c>
      <c r="J11" s="55" t="s">
        <v>12</v>
      </c>
      <c r="P11" s="28">
        <v>7</v>
      </c>
      <c r="Q11" s="29">
        <f>COUNTIF(G2:G241,7)</f>
        <v>11</v>
      </c>
      <c r="S11" s="28">
        <v>7</v>
      </c>
      <c r="T11" s="29">
        <f>COUNTIF(I2:I241,7)</f>
        <v>11</v>
      </c>
      <c r="W11" s="16"/>
      <c r="X11" s="1"/>
      <c r="Y11" s="1">
        <v>4</v>
      </c>
      <c r="Z11" s="1">
        <v>8</v>
      </c>
      <c r="AA11" s="1">
        <v>10</v>
      </c>
      <c r="AB11" s="1">
        <f>SUM(Q12:Q13)</f>
        <v>21</v>
      </c>
      <c r="AC11" s="21">
        <f>$Q$35*(_xlfn.EXPON.DIST(AA11,$X$6,TRUE)-_xlfn.EXPON.DIST(Z11,$X$6,TRUE))</f>
        <v>15.549599629806101</v>
      </c>
      <c r="AD11" s="1">
        <f t="shared" si="4"/>
        <v>1.9104584621244183</v>
      </c>
      <c r="AE11" s="1"/>
      <c r="AF11" s="17"/>
      <c r="AG11" s="1"/>
    </row>
    <row r="12" spans="1:33" ht="15">
      <c r="A12" s="37">
        <v>1</v>
      </c>
      <c r="B12" s="40">
        <v>11</v>
      </c>
      <c r="C12" s="43">
        <v>0.71666666666666667</v>
      </c>
      <c r="D12" s="46">
        <v>0.71944444444444444</v>
      </c>
      <c r="E12" s="43">
        <v>0.72222222222222221</v>
      </c>
      <c r="F12" s="49">
        <f t="shared" si="3"/>
        <v>6.9444444444444198E-3</v>
      </c>
      <c r="G12" s="52">
        <f t="shared" si="0"/>
        <v>10</v>
      </c>
      <c r="H12" s="46">
        <f t="shared" si="1"/>
        <v>2.7777777777777679E-3</v>
      </c>
      <c r="I12" s="52">
        <f t="shared" si="2"/>
        <v>4</v>
      </c>
      <c r="J12" s="55" t="s">
        <v>12</v>
      </c>
      <c r="P12" s="28">
        <v>8</v>
      </c>
      <c r="Q12" s="29">
        <f>COUNTIF(G2:G241,8)</f>
        <v>12</v>
      </c>
      <c r="S12" s="28">
        <v>8</v>
      </c>
      <c r="T12" s="29">
        <f>COUNTIF(I2:I241,8)</f>
        <v>10</v>
      </c>
      <c r="W12" s="16"/>
      <c r="X12" s="1"/>
      <c r="Y12" s="1">
        <v>5</v>
      </c>
      <c r="Z12" s="1">
        <v>10</v>
      </c>
      <c r="AA12" s="1" t="s">
        <v>30</v>
      </c>
      <c r="AB12" s="1">
        <f>SUM(Q14:Q33)</f>
        <v>36</v>
      </c>
      <c r="AC12" s="21">
        <f>$Q$35*(1-_xlfn.EXPON.DIST(Z12,$X$6,TRUE))</f>
        <v>30.37000551980978</v>
      </c>
      <c r="AD12" s="1">
        <f t="shared" si="4"/>
        <v>1.0436889063552228</v>
      </c>
      <c r="AE12" s="1"/>
      <c r="AF12" s="17"/>
      <c r="AG12" s="1"/>
    </row>
    <row r="13" spans="1:33" ht="15">
      <c r="A13" s="37">
        <v>1</v>
      </c>
      <c r="B13" s="40">
        <v>12</v>
      </c>
      <c r="C13" s="43">
        <v>0.73055555555555551</v>
      </c>
      <c r="D13" s="46">
        <v>0.73055555555555551</v>
      </c>
      <c r="E13" s="43">
        <v>0.73263888888888884</v>
      </c>
      <c r="F13" s="49">
        <f t="shared" si="3"/>
        <v>1.388888888888884E-2</v>
      </c>
      <c r="G13" s="52">
        <f t="shared" si="0"/>
        <v>20</v>
      </c>
      <c r="H13" s="46">
        <f t="shared" si="1"/>
        <v>2.0833333333333259E-3</v>
      </c>
      <c r="I13" s="52">
        <f t="shared" si="2"/>
        <v>3</v>
      </c>
      <c r="J13" s="55" t="s">
        <v>12</v>
      </c>
      <c r="P13" s="28">
        <v>9</v>
      </c>
      <c r="Q13" s="29">
        <f>COUNTIF(G2:G241,9)</f>
        <v>9</v>
      </c>
      <c r="S13" s="28">
        <v>9</v>
      </c>
      <c r="T13" s="29">
        <f>COUNTIF(I2:I241,9)</f>
        <v>6</v>
      </c>
      <c r="W13" s="16"/>
      <c r="X13" s="1"/>
      <c r="Y13" s="1"/>
      <c r="Z13" s="1"/>
      <c r="AA13" s="1"/>
      <c r="AB13" s="1">
        <f>SUM(AB7:AB12)</f>
        <v>240</v>
      </c>
      <c r="AC13" s="1"/>
      <c r="AD13" s="20">
        <f>SUM(AD7:AD12)</f>
        <v>5.0970036721623355</v>
      </c>
      <c r="AE13" s="1"/>
      <c r="AF13" s="17"/>
      <c r="AG13" s="1"/>
    </row>
    <row r="14" spans="1:33" ht="15">
      <c r="A14" s="37">
        <v>1</v>
      </c>
      <c r="B14" s="40">
        <v>13</v>
      </c>
      <c r="C14" s="43">
        <v>0.73958333333333337</v>
      </c>
      <c r="D14" s="46">
        <v>0.73958333333333337</v>
      </c>
      <c r="E14" s="43">
        <v>0.74305555555555558</v>
      </c>
      <c r="F14" s="49">
        <f t="shared" si="3"/>
        <v>9.0277777777778567E-3</v>
      </c>
      <c r="G14" s="52">
        <f t="shared" si="0"/>
        <v>13</v>
      </c>
      <c r="H14" s="46">
        <f t="shared" si="1"/>
        <v>3.4722222222222099E-3</v>
      </c>
      <c r="I14" s="52">
        <f t="shared" si="2"/>
        <v>5</v>
      </c>
      <c r="J14" s="55" t="s">
        <v>12</v>
      </c>
      <c r="P14" s="28">
        <v>10</v>
      </c>
      <c r="Q14" s="29">
        <f>COUNTIF(G2:G241,10)</f>
        <v>6</v>
      </c>
      <c r="S14" s="28">
        <v>10</v>
      </c>
      <c r="T14" s="29">
        <f>COUNTIF(I2:I241,10)</f>
        <v>5</v>
      </c>
      <c r="W14" s="16"/>
      <c r="X14" s="1"/>
      <c r="Y14" s="1"/>
      <c r="Z14" s="1"/>
      <c r="AA14" s="1"/>
      <c r="AB14" s="1"/>
      <c r="AC14" s="1"/>
      <c r="AD14" s="1"/>
      <c r="AE14" s="1"/>
      <c r="AF14" s="17"/>
      <c r="AG14" s="1"/>
    </row>
    <row r="15" spans="1:33" ht="15">
      <c r="A15" s="37">
        <v>1</v>
      </c>
      <c r="B15" s="40">
        <v>14</v>
      </c>
      <c r="C15" s="43">
        <v>0.74236111111111114</v>
      </c>
      <c r="D15" s="46">
        <v>0.74305555555555558</v>
      </c>
      <c r="E15" s="43">
        <v>0.74513888888888891</v>
      </c>
      <c r="F15" s="49">
        <f t="shared" si="3"/>
        <v>2.7777777777777679E-3</v>
      </c>
      <c r="G15" s="52">
        <f t="shared" si="0"/>
        <v>4</v>
      </c>
      <c r="H15" s="46">
        <f t="shared" si="1"/>
        <v>2.0833333333333259E-3</v>
      </c>
      <c r="I15" s="52">
        <f t="shared" si="2"/>
        <v>3</v>
      </c>
      <c r="J15" s="55" t="s">
        <v>12</v>
      </c>
      <c r="P15" s="28">
        <v>11</v>
      </c>
      <c r="Q15" s="29">
        <f>COUNTIF(G2:G241,11)</f>
        <v>3</v>
      </c>
      <c r="S15" s="28">
        <v>11</v>
      </c>
      <c r="T15" s="29">
        <f>COUNTIF(I2:I241,11)</f>
        <v>3</v>
      </c>
      <c r="W15" s="16"/>
      <c r="X15" s="1"/>
      <c r="Y15" s="1"/>
      <c r="Z15" s="1"/>
      <c r="AA15" s="1"/>
      <c r="AB15" s="20" t="s">
        <v>31</v>
      </c>
      <c r="AC15" s="20">
        <f>_xlfn.CHISQ.INV.RT(0.05,4)</f>
        <v>9.4877290367811575</v>
      </c>
      <c r="AD15" s="1"/>
      <c r="AE15" s="1" t="s">
        <v>32</v>
      </c>
      <c r="AF15" s="17"/>
      <c r="AG15" s="1"/>
    </row>
    <row r="16" spans="1:33" ht="15">
      <c r="A16" s="37">
        <v>1</v>
      </c>
      <c r="B16" s="40">
        <v>15</v>
      </c>
      <c r="C16" s="43">
        <v>0.74375000000000002</v>
      </c>
      <c r="D16" s="46">
        <v>0.74513888888888891</v>
      </c>
      <c r="E16" s="43">
        <v>0.74583333333333335</v>
      </c>
      <c r="F16" s="49">
        <f t="shared" si="3"/>
        <v>1.388888888888884E-3</v>
      </c>
      <c r="G16" s="52">
        <f t="shared" si="0"/>
        <v>2</v>
      </c>
      <c r="H16" s="46">
        <f t="shared" si="1"/>
        <v>6.9444444444444198E-4</v>
      </c>
      <c r="I16" s="52">
        <f t="shared" si="2"/>
        <v>1</v>
      </c>
      <c r="J16" s="55" t="s">
        <v>12</v>
      </c>
      <c r="P16" s="28">
        <v>12</v>
      </c>
      <c r="Q16" s="29">
        <f>COUNTIF(G2:G241,12)</f>
        <v>6</v>
      </c>
      <c r="S16" s="28">
        <v>12</v>
      </c>
      <c r="T16" s="29">
        <f>COUNTIF(I2:I241,12)</f>
        <v>4</v>
      </c>
      <c r="W16" s="16"/>
      <c r="X16" s="1"/>
      <c r="Y16" s="1"/>
      <c r="Z16" s="1"/>
      <c r="AA16" s="1"/>
      <c r="AB16" s="1"/>
      <c r="AC16" s="1"/>
      <c r="AD16" s="1"/>
      <c r="AE16" s="1"/>
      <c r="AF16" s="17"/>
      <c r="AG16" s="1"/>
    </row>
    <row r="17" spans="1:33" ht="15">
      <c r="A17" s="37">
        <v>1</v>
      </c>
      <c r="B17" s="40">
        <v>16</v>
      </c>
      <c r="C17" s="43">
        <v>0.74722222222222223</v>
      </c>
      <c r="D17" s="46">
        <v>0.74722222222222223</v>
      </c>
      <c r="E17" s="43">
        <v>0.75277777777777777</v>
      </c>
      <c r="F17" s="49">
        <f t="shared" si="3"/>
        <v>3.4722222222222099E-3</v>
      </c>
      <c r="G17" s="52">
        <f t="shared" si="0"/>
        <v>5</v>
      </c>
      <c r="H17" s="46">
        <f t="shared" si="1"/>
        <v>5.5555555555555358E-3</v>
      </c>
      <c r="I17" s="52">
        <f t="shared" si="2"/>
        <v>8</v>
      </c>
      <c r="J17" s="55" t="s">
        <v>12</v>
      </c>
      <c r="P17" s="28">
        <v>13</v>
      </c>
      <c r="Q17" s="29">
        <f>COUNTIF(G2:G241,13)</f>
        <v>4</v>
      </c>
      <c r="S17" s="28">
        <v>13</v>
      </c>
      <c r="T17" s="29">
        <f>COUNTIF(I2:I241,13)</f>
        <v>3</v>
      </c>
      <c r="W17" s="22"/>
      <c r="X17" s="23"/>
      <c r="Y17" s="24" t="s">
        <v>33</v>
      </c>
      <c r="Z17" s="67" t="s">
        <v>34</v>
      </c>
      <c r="AA17" s="67"/>
      <c r="AB17" s="67"/>
      <c r="AC17" s="67"/>
      <c r="AD17" s="68"/>
      <c r="AE17" s="64"/>
      <c r="AF17" s="17"/>
    </row>
    <row r="18" spans="1:33" ht="15">
      <c r="A18" s="37">
        <v>1</v>
      </c>
      <c r="B18" s="40">
        <v>17</v>
      </c>
      <c r="C18" s="43">
        <v>0.74861111111111112</v>
      </c>
      <c r="D18" s="46">
        <v>0.75277777777777777</v>
      </c>
      <c r="E18" s="43">
        <v>0.7583333333333333</v>
      </c>
      <c r="F18" s="49">
        <f t="shared" si="3"/>
        <v>1.388888888888884E-3</v>
      </c>
      <c r="G18" s="52">
        <f t="shared" si="0"/>
        <v>2</v>
      </c>
      <c r="H18" s="46">
        <f t="shared" si="1"/>
        <v>5.5555555555555358E-3</v>
      </c>
      <c r="I18" s="52">
        <f t="shared" si="2"/>
        <v>8</v>
      </c>
      <c r="J18" s="55" t="s">
        <v>20</v>
      </c>
      <c r="P18" s="28">
        <v>14</v>
      </c>
      <c r="Q18" s="29">
        <f>COUNTIF(G2:G241,14)</f>
        <v>3</v>
      </c>
      <c r="S18" s="28">
        <v>14</v>
      </c>
      <c r="T18" s="29">
        <f>COUNTIF(I2:I241,14)</f>
        <v>2</v>
      </c>
      <c r="W18" s="13"/>
      <c r="X18" s="14"/>
      <c r="Y18" s="62" t="s">
        <v>35</v>
      </c>
      <c r="Z18" s="63" t="s">
        <v>36</v>
      </c>
      <c r="AA18" s="14"/>
      <c r="AB18" s="14"/>
      <c r="AC18" s="14"/>
      <c r="AD18" s="14"/>
      <c r="AE18" s="14"/>
      <c r="AF18" s="15"/>
      <c r="AG18" s="1"/>
    </row>
    <row r="19" spans="1:33" ht="15">
      <c r="A19" s="37">
        <v>1</v>
      </c>
      <c r="B19" s="40">
        <v>18</v>
      </c>
      <c r="C19" s="43">
        <v>0.76597222222222228</v>
      </c>
      <c r="D19" s="46">
        <v>0.76597222222222228</v>
      </c>
      <c r="E19" s="43">
        <v>0.76666666666666672</v>
      </c>
      <c r="F19" s="49">
        <f t="shared" si="3"/>
        <v>1.736111111111116E-2</v>
      </c>
      <c r="G19" s="52">
        <f t="shared" si="0"/>
        <v>25</v>
      </c>
      <c r="H19" s="46">
        <f t="shared" si="1"/>
        <v>6.9444444444444198E-4</v>
      </c>
      <c r="I19" s="52">
        <f t="shared" si="2"/>
        <v>1</v>
      </c>
      <c r="J19" s="55" t="s">
        <v>12</v>
      </c>
      <c r="P19" s="28">
        <v>15</v>
      </c>
      <c r="Q19" s="29">
        <f>COUNTIF(G2:G241,15)</f>
        <v>2</v>
      </c>
      <c r="S19" s="28">
        <v>15</v>
      </c>
      <c r="T19" s="29">
        <f>COUNTIF(I2:I241,15)</f>
        <v>1</v>
      </c>
      <c r="W19" s="16"/>
      <c r="X19" s="1"/>
      <c r="Y19" s="1" t="s">
        <v>37</v>
      </c>
      <c r="Z19" s="1"/>
      <c r="AA19" s="1"/>
      <c r="AB19" s="1"/>
      <c r="AC19" s="1"/>
      <c r="AD19" s="1"/>
      <c r="AE19" s="1"/>
      <c r="AF19" s="17"/>
      <c r="AG19" s="1"/>
    </row>
    <row r="20" spans="1:33" ht="15">
      <c r="A20" s="37">
        <v>1</v>
      </c>
      <c r="B20" s="40">
        <v>19</v>
      </c>
      <c r="C20" s="43">
        <v>0.77152777777777781</v>
      </c>
      <c r="D20" s="46">
        <v>0.77152777777777781</v>
      </c>
      <c r="E20" s="43">
        <v>0.7729166666666667</v>
      </c>
      <c r="F20" s="49">
        <f t="shared" si="3"/>
        <v>5.5555555555555358E-3</v>
      </c>
      <c r="G20" s="52">
        <f t="shared" si="0"/>
        <v>8</v>
      </c>
      <c r="H20" s="46">
        <f t="shared" si="1"/>
        <v>1.388888888888884E-3</v>
      </c>
      <c r="I20" s="52">
        <f t="shared" si="2"/>
        <v>2</v>
      </c>
      <c r="J20" s="55" t="s">
        <v>12</v>
      </c>
      <c r="P20" s="28">
        <v>16</v>
      </c>
      <c r="Q20" s="29">
        <f>COUNTIF(G2:G241,16)</f>
        <v>1</v>
      </c>
      <c r="S20" s="28">
        <v>16</v>
      </c>
      <c r="T20" s="29">
        <f>COUNTIF(I2:I241,16)</f>
        <v>1</v>
      </c>
      <c r="W20" s="16"/>
      <c r="X20" s="1"/>
      <c r="Y20" s="1" t="s">
        <v>19</v>
      </c>
      <c r="Z20" s="1"/>
      <c r="AA20" s="1"/>
      <c r="AB20" s="1"/>
      <c r="AC20" s="1"/>
      <c r="AD20" s="1"/>
      <c r="AE20" s="1"/>
      <c r="AF20" s="17"/>
      <c r="AG20" s="1"/>
    </row>
    <row r="21" spans="1:33" ht="15">
      <c r="A21" s="37">
        <v>1</v>
      </c>
      <c r="B21" s="40">
        <v>20</v>
      </c>
      <c r="C21" s="43">
        <v>0.77708333333333335</v>
      </c>
      <c r="D21" s="46">
        <v>0.77708333333333335</v>
      </c>
      <c r="E21" s="43">
        <v>0.77777777777777779</v>
      </c>
      <c r="F21" s="49">
        <f t="shared" si="3"/>
        <v>5.5555555555555358E-3</v>
      </c>
      <c r="G21" s="52">
        <f t="shared" si="0"/>
        <v>8</v>
      </c>
      <c r="H21" s="46">
        <f t="shared" si="1"/>
        <v>6.9444444444444198E-4</v>
      </c>
      <c r="I21" s="52">
        <f t="shared" si="2"/>
        <v>1</v>
      </c>
      <c r="J21" s="55" t="s">
        <v>12</v>
      </c>
      <c r="P21" s="28">
        <v>17</v>
      </c>
      <c r="Q21" s="29">
        <f>COUNTIF(G2:G241,17)</f>
        <v>1</v>
      </c>
      <c r="S21" s="28">
        <v>17</v>
      </c>
      <c r="T21" s="29">
        <f>COUNTIF(I2:I241,17)</f>
        <v>1</v>
      </c>
      <c r="W21" s="16"/>
      <c r="X21" s="1"/>
      <c r="Y21" s="1"/>
      <c r="Z21" s="1"/>
      <c r="AA21" s="1"/>
      <c r="AB21" s="1"/>
      <c r="AC21" s="1"/>
      <c r="AD21" s="1"/>
      <c r="AE21" s="1"/>
      <c r="AF21" s="17"/>
      <c r="AG21" s="1"/>
    </row>
    <row r="22" spans="1:33" ht="15.75">
      <c r="A22" s="37">
        <v>1</v>
      </c>
      <c r="B22" s="40">
        <v>21</v>
      </c>
      <c r="C22" s="43">
        <v>0.78194444444444444</v>
      </c>
      <c r="D22" s="46">
        <v>0.78194444444444444</v>
      </c>
      <c r="E22" s="43">
        <v>0.78333333333333333</v>
      </c>
      <c r="F22" s="49">
        <f t="shared" si="3"/>
        <v>4.8611111111110938E-3</v>
      </c>
      <c r="G22" s="52">
        <f t="shared" si="0"/>
        <v>7</v>
      </c>
      <c r="H22" s="46">
        <f t="shared" si="1"/>
        <v>1.388888888888884E-3</v>
      </c>
      <c r="I22" s="52">
        <f t="shared" si="2"/>
        <v>2</v>
      </c>
      <c r="J22" s="55" t="s">
        <v>12</v>
      </c>
      <c r="P22" s="28">
        <v>18</v>
      </c>
      <c r="Q22" s="29">
        <f>COUNTIF(G2:G241,18)</f>
        <v>0</v>
      </c>
      <c r="S22" s="28">
        <v>18</v>
      </c>
      <c r="T22" s="29">
        <f>COUNTIF(I2:I241,18)</f>
        <v>1</v>
      </c>
      <c r="W22" s="18" t="s">
        <v>21</v>
      </c>
      <c r="X22" s="1">
        <f>SUMPRODUCT(S4:S27,T4:T27)/T28</f>
        <v>4.2750000000000004</v>
      </c>
      <c r="Y22" s="2" t="s">
        <v>23</v>
      </c>
      <c r="Z22" s="3" t="s">
        <v>24</v>
      </c>
      <c r="AA22" s="3" t="s">
        <v>25</v>
      </c>
      <c r="AB22" s="8" t="s">
        <v>38</v>
      </c>
      <c r="AC22" s="8" t="s">
        <v>39</v>
      </c>
      <c r="AD22" s="8" t="s">
        <v>40</v>
      </c>
      <c r="AE22" s="1"/>
      <c r="AF22" s="17"/>
      <c r="AG22" s="1"/>
    </row>
    <row r="23" spans="1:33" ht="15.75">
      <c r="A23" s="37">
        <v>1</v>
      </c>
      <c r="B23" s="40">
        <v>22</v>
      </c>
      <c r="C23" s="43">
        <v>0.78888888888888886</v>
      </c>
      <c r="D23" s="46">
        <v>0.78888888888888886</v>
      </c>
      <c r="E23" s="43">
        <v>0.79236111111111107</v>
      </c>
      <c r="F23" s="49">
        <f t="shared" si="3"/>
        <v>6.9444444444444198E-3</v>
      </c>
      <c r="G23" s="52">
        <f t="shared" si="0"/>
        <v>10</v>
      </c>
      <c r="H23" s="46">
        <f t="shared" si="1"/>
        <v>3.4722222222222099E-3</v>
      </c>
      <c r="I23" s="52">
        <f t="shared" si="2"/>
        <v>5</v>
      </c>
      <c r="J23" s="55" t="s">
        <v>12</v>
      </c>
      <c r="P23" s="28">
        <v>19</v>
      </c>
      <c r="Q23" s="29">
        <f>COUNTIF(G2:G241,19)</f>
        <v>2</v>
      </c>
      <c r="S23" s="28">
        <v>19</v>
      </c>
      <c r="T23" s="29">
        <f>COUNTIF(I2:I241,19)</f>
        <v>0</v>
      </c>
      <c r="W23" s="19" t="s">
        <v>22</v>
      </c>
      <c r="X23" s="20">
        <f>1/X22</f>
        <v>0.23391812865497075</v>
      </c>
      <c r="Y23" s="4">
        <v>0</v>
      </c>
      <c r="Z23" s="5">
        <v>0</v>
      </c>
      <c r="AA23" s="5">
        <v>2</v>
      </c>
      <c r="AB23" s="1">
        <f>SUM(T4:T5)</f>
        <v>71</v>
      </c>
      <c r="AC23" s="1">
        <f>$Q$35*(_xlfn.EXPON.DIST(Table2[[#This Row],[Upper Bound]],$X$23,TRUE)-_xlfn.EXPON.DIST(Table2[[#This Row],[Lower Bound]],$X$23,TRUE))</f>
        <v>89.674541642379012</v>
      </c>
      <c r="AD23" s="1">
        <f>((AB23-AC23)^2)/AC23</f>
        <v>3.8889354678132926</v>
      </c>
      <c r="AE23" s="1"/>
      <c r="AF23" s="17"/>
      <c r="AG23" s="1"/>
    </row>
    <row r="24" spans="1:33" ht="15">
      <c r="A24" s="37">
        <v>1</v>
      </c>
      <c r="B24" s="40">
        <v>23</v>
      </c>
      <c r="C24" s="43">
        <v>0.79722222222222228</v>
      </c>
      <c r="D24" s="46">
        <v>0.79722222222222228</v>
      </c>
      <c r="E24" s="43">
        <v>0.7993055555555556</v>
      </c>
      <c r="F24" s="49">
        <f t="shared" si="3"/>
        <v>8.3333333333334147E-3</v>
      </c>
      <c r="G24" s="52">
        <f t="shared" si="0"/>
        <v>12</v>
      </c>
      <c r="H24" s="46">
        <f t="shared" si="1"/>
        <v>2.0833333333333259E-3</v>
      </c>
      <c r="I24" s="52">
        <f t="shared" si="2"/>
        <v>3</v>
      </c>
      <c r="J24" s="55" t="s">
        <v>12</v>
      </c>
      <c r="P24" s="28">
        <v>20</v>
      </c>
      <c r="Q24" s="29">
        <f>COUNTIF(G2:G241,20)</f>
        <v>2</v>
      </c>
      <c r="S24" s="28">
        <v>20</v>
      </c>
      <c r="T24" s="29">
        <f>COUNTIF(I2:I241,20)</f>
        <v>0</v>
      </c>
      <c r="W24" s="16"/>
      <c r="X24" s="1"/>
      <c r="Y24" s="6">
        <v>1</v>
      </c>
      <c r="Z24" s="7">
        <v>2</v>
      </c>
      <c r="AA24" s="7">
        <v>4</v>
      </c>
      <c r="AB24" s="1">
        <f>SUM(T6:T7)</f>
        <v>59</v>
      </c>
      <c r="AC24" s="1">
        <f>$Q$35*(_xlfn.EXPON.DIST(Table2[[#This Row],[Upper Bound]],$X$23,TRUE)-_xlfn.EXPON.DIST(Table2[[#This Row],[Lower Bound]],$X$23,TRUE))</f>
        <v>56.168194064167494</v>
      </c>
      <c r="AD24" s="1">
        <f t="shared" ref="AD24:AD30" si="5">((AB24-AC24)^2)/AC24</f>
        <v>0.14276985386168961</v>
      </c>
      <c r="AE24" s="1"/>
      <c r="AF24" s="17"/>
      <c r="AG24" s="1"/>
    </row>
    <row r="25" spans="1:33" ht="15">
      <c r="A25" s="37">
        <v>1</v>
      </c>
      <c r="B25" s="40">
        <v>24</v>
      </c>
      <c r="C25" s="43">
        <v>0.80069444444444449</v>
      </c>
      <c r="D25" s="46">
        <v>0.80069444444444449</v>
      </c>
      <c r="E25" s="43">
        <v>0.80555555555555558</v>
      </c>
      <c r="F25" s="49">
        <f t="shared" si="3"/>
        <v>3.4722222222222099E-3</v>
      </c>
      <c r="G25" s="52">
        <f t="shared" si="0"/>
        <v>5</v>
      </c>
      <c r="H25" s="46">
        <f t="shared" si="1"/>
        <v>4.8611111111110938E-3</v>
      </c>
      <c r="I25" s="52">
        <f t="shared" si="2"/>
        <v>7</v>
      </c>
      <c r="J25" s="55" t="s">
        <v>12</v>
      </c>
      <c r="P25" s="28">
        <v>21</v>
      </c>
      <c r="Q25" s="29">
        <f>COUNTIF(G2:G241,21)</f>
        <v>1</v>
      </c>
      <c r="S25" s="28">
        <v>21</v>
      </c>
      <c r="T25" s="29">
        <f>COUNTIF(I2:I241,21)</f>
        <v>0</v>
      </c>
      <c r="W25" s="16"/>
      <c r="X25" s="1"/>
      <c r="Y25" s="4">
        <v>2</v>
      </c>
      <c r="Z25" s="5">
        <v>4</v>
      </c>
      <c r="AA25" s="5">
        <v>6</v>
      </c>
      <c r="AB25" s="1">
        <f>SUM(T8:T9)</f>
        <v>43</v>
      </c>
      <c r="AC25" s="1">
        <f>$Q$35*(_xlfn.EXPON.DIST(Table2[[#This Row],[Upper Bound]],$X$23,TRUE)-_xlfn.EXPON.DIST(Table2[[#This Row],[Lower Bound]],$X$23,TRUE))</f>
        <v>35.181289657565742</v>
      </c>
      <c r="AD25" s="1">
        <f t="shared" si="5"/>
        <v>1.7376347488654935</v>
      </c>
      <c r="AE25" s="1"/>
      <c r="AF25" s="17"/>
      <c r="AG25" s="1"/>
    </row>
    <row r="26" spans="1:33" ht="15">
      <c r="A26" s="37">
        <v>1</v>
      </c>
      <c r="B26" s="40">
        <v>25</v>
      </c>
      <c r="C26" s="43">
        <v>0.80138888888888893</v>
      </c>
      <c r="D26" s="46">
        <v>0.80555555555555558</v>
      </c>
      <c r="E26" s="43">
        <v>0.80694444444444446</v>
      </c>
      <c r="F26" s="49">
        <f t="shared" si="3"/>
        <v>6.9444444444444198E-4</v>
      </c>
      <c r="G26" s="52">
        <f t="shared" si="0"/>
        <v>1</v>
      </c>
      <c r="H26" s="46">
        <f t="shared" si="1"/>
        <v>1.388888888888884E-3</v>
      </c>
      <c r="I26" s="52">
        <f t="shared" si="2"/>
        <v>2</v>
      </c>
      <c r="J26" s="55" t="s">
        <v>12</v>
      </c>
      <c r="P26" s="28">
        <v>22</v>
      </c>
      <c r="Q26" s="29">
        <f>COUNTIF(G2:G241,22)</f>
        <v>1</v>
      </c>
      <c r="S26" s="28">
        <v>22</v>
      </c>
      <c r="T26" s="29">
        <f>COUNTIF(I2:I241,22)</f>
        <v>1</v>
      </c>
      <c r="W26" s="16"/>
      <c r="X26" s="1"/>
      <c r="Y26" s="6">
        <v>3</v>
      </c>
      <c r="Z26" s="7">
        <v>6</v>
      </c>
      <c r="AA26" s="7">
        <v>8</v>
      </c>
      <c r="AB26" s="1">
        <f>SUM(T10:T11)</f>
        <v>28</v>
      </c>
      <c r="AC26" s="1">
        <f>$Q$35*(_xlfn.EXPON.DIST(Table2[[#This Row],[Upper Bound]],$X$23,TRUE)-_xlfn.EXPON.DIST(Table2[[#This Row],[Lower Bound]],$X$23,TRUE))</f>
        <v>22.036014555774184</v>
      </c>
      <c r="AD26" s="1">
        <f t="shared" si="5"/>
        <v>1.6141359086921228</v>
      </c>
      <c r="AE26" s="1"/>
      <c r="AF26" s="17"/>
      <c r="AG26" s="1"/>
    </row>
    <row r="27" spans="1:33" ht="15">
      <c r="A27" s="37">
        <v>1</v>
      </c>
      <c r="B27" s="40">
        <v>26</v>
      </c>
      <c r="C27" s="43">
        <v>0.80208333333333337</v>
      </c>
      <c r="D27" s="46">
        <v>0.80694444444444446</v>
      </c>
      <c r="E27" s="43">
        <v>0.8125</v>
      </c>
      <c r="F27" s="49">
        <f t="shared" si="3"/>
        <v>6.9444444444444198E-4</v>
      </c>
      <c r="G27" s="52">
        <f t="shared" si="0"/>
        <v>1</v>
      </c>
      <c r="H27" s="46">
        <f t="shared" si="1"/>
        <v>5.5555555555555358E-3</v>
      </c>
      <c r="I27" s="52">
        <f t="shared" si="2"/>
        <v>8</v>
      </c>
      <c r="J27" s="55" t="s">
        <v>12</v>
      </c>
      <c r="P27" s="28">
        <v>23</v>
      </c>
      <c r="Q27" s="29">
        <f>COUNTIF(G2:G241,23)</f>
        <v>1</v>
      </c>
      <c r="S27" s="30">
        <v>23</v>
      </c>
      <c r="T27" s="31">
        <f>COUNTIF(I2:I241,23)</f>
        <v>1</v>
      </c>
      <c r="W27" s="16"/>
      <c r="X27" s="1"/>
      <c r="Y27" s="4">
        <v>4</v>
      </c>
      <c r="Z27" s="5">
        <v>8</v>
      </c>
      <c r="AA27" s="5">
        <v>10</v>
      </c>
      <c r="AB27" s="1">
        <f>SUM(T12:T13)</f>
        <v>16</v>
      </c>
      <c r="AC27" s="1">
        <f>$Q$35*(_xlfn.EXPON.DIST(Table2[[#This Row],[Upper Bound]],$X$23,TRUE)-_xlfn.EXPON.DIST(Table2[[#This Row],[Lower Bound]],$X$23,TRUE))</f>
        <v>13.802391618633187</v>
      </c>
      <c r="AD27" s="1">
        <f t="shared" si="5"/>
        <v>0.34990186710351523</v>
      </c>
      <c r="AE27" s="1"/>
      <c r="AF27" s="17"/>
      <c r="AG27" s="1"/>
    </row>
    <row r="28" spans="1:33" ht="15">
      <c r="A28" s="37">
        <v>1</v>
      </c>
      <c r="B28" s="40">
        <v>27</v>
      </c>
      <c r="C28" s="43">
        <v>0.80347222222222225</v>
      </c>
      <c r="D28" s="46">
        <v>0.8125</v>
      </c>
      <c r="E28" s="43">
        <v>0.81388888888888888</v>
      </c>
      <c r="F28" s="49">
        <f t="shared" si="3"/>
        <v>1.388888888888884E-3</v>
      </c>
      <c r="G28" s="52">
        <f t="shared" si="0"/>
        <v>2</v>
      </c>
      <c r="H28" s="46">
        <f t="shared" si="1"/>
        <v>1.388888888888884E-3</v>
      </c>
      <c r="I28" s="52">
        <f t="shared" si="2"/>
        <v>2</v>
      </c>
      <c r="J28" s="55" t="s">
        <v>12</v>
      </c>
      <c r="P28" s="28">
        <v>24</v>
      </c>
      <c r="Q28" s="29">
        <f>COUNTIF(G2:G241,24)</f>
        <v>0</v>
      </c>
      <c r="S28" s="32"/>
      <c r="T28" s="33">
        <f>SUM(T4:T27)</f>
        <v>240</v>
      </c>
      <c r="W28" s="16"/>
      <c r="X28" s="1"/>
      <c r="Y28" s="10">
        <v>5</v>
      </c>
      <c r="Z28" s="9">
        <v>10</v>
      </c>
      <c r="AA28" s="9">
        <v>12</v>
      </c>
      <c r="AB28" s="1">
        <f>SUM(T14:T15)</f>
        <v>8</v>
      </c>
      <c r="AC28" s="1">
        <f>$Q$35*(_xlfn.EXPON.DIST(Table2[[#This Row],[Upper Bound]],$X$23,TRUE)-_xlfn.EXPON.DIST(Table2[[#This Row],[Lower Bound]],$X$23,TRUE))</f>
        <v>8.6452118604267358</v>
      </c>
      <c r="AD28" s="1">
        <f t="shared" si="5"/>
        <v>4.8153631346031671E-2</v>
      </c>
      <c r="AE28" s="1"/>
      <c r="AF28" s="17"/>
      <c r="AG28" s="1"/>
    </row>
    <row r="29" spans="1:33" ht="15">
      <c r="A29" s="37">
        <v>1</v>
      </c>
      <c r="B29" s="40">
        <v>28</v>
      </c>
      <c r="C29" s="43">
        <v>0.80902777777777779</v>
      </c>
      <c r="D29" s="46">
        <v>0.81388888888888888</v>
      </c>
      <c r="E29" s="43">
        <v>0.82361111111111107</v>
      </c>
      <c r="F29" s="49">
        <f t="shared" si="3"/>
        <v>5.5555555555555358E-3</v>
      </c>
      <c r="G29" s="52">
        <f t="shared" si="0"/>
        <v>8</v>
      </c>
      <c r="H29" s="46">
        <f t="shared" si="1"/>
        <v>9.7222222222221877E-3</v>
      </c>
      <c r="I29" s="52">
        <f t="shared" si="2"/>
        <v>14</v>
      </c>
      <c r="J29" s="55" t="s">
        <v>12</v>
      </c>
      <c r="P29" s="28">
        <v>25</v>
      </c>
      <c r="Q29" s="29">
        <f>COUNTIF(G2:G241,25)</f>
        <v>1</v>
      </c>
      <c r="W29" s="16"/>
      <c r="X29" s="1"/>
      <c r="Y29" s="12">
        <v>6</v>
      </c>
      <c r="Z29" s="11">
        <v>12</v>
      </c>
      <c r="AA29" s="11">
        <v>14</v>
      </c>
      <c r="AB29" s="1">
        <f>SUM(T16:T17)</f>
        <v>7</v>
      </c>
      <c r="AC29" s="1">
        <f>$Q$35*(_xlfn.EXPON.DIST(Table2[[#This Row],[Upper Bound]],$X$23,TRUE)-_xlfn.EXPON.DIST(Table2[[#This Row],[Lower Bound]],$X$23,TRUE))</f>
        <v>5.4149809813224703</v>
      </c>
      <c r="AD29" s="1">
        <f t="shared" si="5"/>
        <v>0.46395089811671286</v>
      </c>
      <c r="AE29" s="1"/>
      <c r="AF29" s="17"/>
      <c r="AG29" s="1"/>
    </row>
    <row r="30" spans="1:33" ht="15">
      <c r="A30" s="37">
        <v>1</v>
      </c>
      <c r="B30" s="40">
        <v>29</v>
      </c>
      <c r="C30" s="43">
        <v>0.81319444444444444</v>
      </c>
      <c r="D30" s="46">
        <v>0.83750000000000002</v>
      </c>
      <c r="E30" s="43">
        <v>0.84236111111111112</v>
      </c>
      <c r="F30" s="49">
        <f t="shared" si="3"/>
        <v>4.1666666666666519E-3</v>
      </c>
      <c r="G30" s="52">
        <f t="shared" si="0"/>
        <v>6</v>
      </c>
      <c r="H30" s="46">
        <f t="shared" si="1"/>
        <v>4.8611111111110938E-3</v>
      </c>
      <c r="I30" s="52">
        <f t="shared" si="2"/>
        <v>7</v>
      </c>
      <c r="J30" s="55" t="s">
        <v>12</v>
      </c>
      <c r="P30" s="28">
        <v>26</v>
      </c>
      <c r="Q30" s="29">
        <f>COUNTIF(G2:G241,26)</f>
        <v>1</v>
      </c>
      <c r="W30" s="16"/>
      <c r="X30" s="1"/>
      <c r="Y30" s="1">
        <v>7</v>
      </c>
      <c r="Z30" s="9">
        <v>14</v>
      </c>
      <c r="AA30" s="9" t="s">
        <v>30</v>
      </c>
      <c r="AB30" s="1">
        <f>SUM(T18:T27)</f>
        <v>8</v>
      </c>
      <c r="AC30" s="1">
        <f>$Q$35*(1-_xlfn.EXPON.DIST(Table2[[#This Row],[Lower Bound]],$X$23,TRUE))</f>
        <v>9.0773756197311783</v>
      </c>
      <c r="AD30" s="1">
        <f t="shared" si="5"/>
        <v>0.12787156493426183</v>
      </c>
      <c r="AE30" s="1"/>
      <c r="AF30" s="17"/>
      <c r="AG30" s="1"/>
    </row>
    <row r="31" spans="1:33" ht="15">
      <c r="A31" s="37">
        <v>1</v>
      </c>
      <c r="B31" s="40">
        <v>30</v>
      </c>
      <c r="C31" s="43">
        <v>0.81319444444444444</v>
      </c>
      <c r="D31" s="46">
        <v>0.84236111111111112</v>
      </c>
      <c r="E31" s="43">
        <v>0.84305555555555556</v>
      </c>
      <c r="F31" s="49">
        <f t="shared" si="3"/>
        <v>0</v>
      </c>
      <c r="G31" s="52">
        <f t="shared" si="0"/>
        <v>0</v>
      </c>
      <c r="H31" s="46">
        <f t="shared" si="1"/>
        <v>6.9444444444444198E-4</v>
      </c>
      <c r="I31" s="52">
        <f t="shared" si="2"/>
        <v>1</v>
      </c>
      <c r="J31" s="55" t="s">
        <v>12</v>
      </c>
      <c r="P31" s="28">
        <v>27</v>
      </c>
      <c r="Q31" s="29">
        <f>COUNTIF(G2:G241,27)</f>
        <v>0</v>
      </c>
      <c r="W31" s="16"/>
      <c r="X31" s="1"/>
      <c r="Y31" s="1"/>
      <c r="Z31" s="1"/>
      <c r="AA31" s="1"/>
      <c r="AB31" s="1">
        <f>SUM(AB23:AB30)</f>
        <v>240</v>
      </c>
      <c r="AC31" s="1">
        <f>$Q$35*(1-_xlfn.EXPON.DIST(Table2[[#This Row],[Lower Bound]],$X$23,TRUE))</f>
        <v>240</v>
      </c>
      <c r="AD31" s="1">
        <f>SUM(AD23:AD30)</f>
        <v>8.3733539407331197</v>
      </c>
      <c r="AE31" s="1"/>
      <c r="AF31" s="17"/>
      <c r="AG31" s="1"/>
    </row>
    <row r="32" spans="1:33" ht="15">
      <c r="A32" s="37">
        <v>1</v>
      </c>
      <c r="B32" s="40">
        <v>31</v>
      </c>
      <c r="C32" s="43">
        <v>0.81944444444444442</v>
      </c>
      <c r="D32" s="46">
        <v>0.84305555555555556</v>
      </c>
      <c r="E32" s="43">
        <v>0.84513888888888888</v>
      </c>
      <c r="F32" s="49">
        <f>C32-C31</f>
        <v>6.2499999999999778E-3</v>
      </c>
      <c r="G32" s="52">
        <f>MINUTE(F32)</f>
        <v>9</v>
      </c>
      <c r="H32" s="46">
        <f t="shared" si="1"/>
        <v>2.0833333333333259E-3</v>
      </c>
      <c r="I32" s="52">
        <f t="shared" si="2"/>
        <v>3</v>
      </c>
      <c r="J32" s="55" t="s">
        <v>12</v>
      </c>
      <c r="P32" s="28">
        <v>28</v>
      </c>
      <c r="Q32" s="29">
        <f>COUNTIF(G2:G241,28)</f>
        <v>0</v>
      </c>
      <c r="W32" s="16"/>
      <c r="X32" s="1"/>
      <c r="Y32" s="1"/>
      <c r="Z32" s="1"/>
      <c r="AA32" s="1"/>
      <c r="AB32" s="1"/>
      <c r="AC32" s="1"/>
      <c r="AD32" s="1"/>
      <c r="AE32" s="1"/>
      <c r="AF32" s="17"/>
      <c r="AG32" s="1"/>
    </row>
    <row r="33" spans="1:33" ht="15">
      <c r="A33" s="37">
        <v>1</v>
      </c>
      <c r="B33" s="40">
        <v>32</v>
      </c>
      <c r="C33" s="43">
        <v>0.82013888888888886</v>
      </c>
      <c r="D33" s="46">
        <v>0.82361111111111107</v>
      </c>
      <c r="E33" s="43">
        <v>0.83263888888888893</v>
      </c>
      <c r="F33" s="49">
        <f t="shared" si="3"/>
        <v>6.9444444444444198E-4</v>
      </c>
      <c r="G33" s="52">
        <f t="shared" si="0"/>
        <v>1</v>
      </c>
      <c r="H33" s="46">
        <f t="shared" si="1"/>
        <v>9.0277777777778567E-3</v>
      </c>
      <c r="I33" s="52">
        <f t="shared" si="2"/>
        <v>13</v>
      </c>
      <c r="J33" s="55" t="s">
        <v>20</v>
      </c>
      <c r="P33" s="30">
        <v>29</v>
      </c>
      <c r="Q33" s="31">
        <f>COUNTIF(G2:G241,29)</f>
        <v>1</v>
      </c>
      <c r="W33" s="16"/>
      <c r="X33" s="1"/>
      <c r="Y33" s="1"/>
      <c r="Z33" s="1"/>
      <c r="AA33" s="1"/>
      <c r="AB33" s="1"/>
      <c r="AC33" s="1"/>
      <c r="AD33" s="1"/>
      <c r="AE33" s="1"/>
      <c r="AF33" s="17"/>
      <c r="AG33" s="1"/>
    </row>
    <row r="34" spans="1:33" ht="15">
      <c r="A34" s="37">
        <v>1</v>
      </c>
      <c r="B34" s="40">
        <v>33</v>
      </c>
      <c r="C34" s="43">
        <v>0.8208333333333333</v>
      </c>
      <c r="D34" s="46">
        <v>0.83263888888888893</v>
      </c>
      <c r="E34" s="43">
        <v>0.83750000000000002</v>
      </c>
      <c r="F34" s="49">
        <f t="shared" si="3"/>
        <v>6.9444444444444198E-4</v>
      </c>
      <c r="G34" s="52">
        <f t="shared" si="0"/>
        <v>1</v>
      </c>
      <c r="H34" s="46">
        <f t="shared" si="1"/>
        <v>4.8611111111110938E-3</v>
      </c>
      <c r="I34" s="52">
        <f t="shared" si="2"/>
        <v>7</v>
      </c>
      <c r="J34" s="55" t="s">
        <v>20</v>
      </c>
      <c r="W34" s="16"/>
      <c r="X34" s="1"/>
      <c r="Y34" s="1"/>
      <c r="Z34" s="1"/>
      <c r="AA34" s="1"/>
      <c r="AB34" s="20" t="s">
        <v>31</v>
      </c>
      <c r="AC34" s="20">
        <f>_xlfn.CHISQ.INV.RT(0.05,6)</f>
        <v>12.591587243743978</v>
      </c>
      <c r="AD34" s="1"/>
      <c r="AE34" s="1" t="s">
        <v>41</v>
      </c>
      <c r="AF34" s="17"/>
      <c r="AG34" s="1"/>
    </row>
    <row r="35" spans="1:33" ht="15">
      <c r="A35" s="37">
        <v>1</v>
      </c>
      <c r="B35" s="40">
        <v>34</v>
      </c>
      <c r="C35" s="43">
        <v>0.8256944444444444</v>
      </c>
      <c r="D35" s="46">
        <v>0.84513888888888888</v>
      </c>
      <c r="E35" s="43">
        <v>0.84722222222222221</v>
      </c>
      <c r="F35" s="49">
        <f t="shared" si="3"/>
        <v>4.8611111111110938E-3</v>
      </c>
      <c r="G35" s="52">
        <f t="shared" si="0"/>
        <v>7</v>
      </c>
      <c r="H35" s="46">
        <f t="shared" si="1"/>
        <v>2.0833333333333259E-3</v>
      </c>
      <c r="I35" s="52">
        <f t="shared" si="2"/>
        <v>3</v>
      </c>
      <c r="J35" s="55" t="s">
        <v>12</v>
      </c>
      <c r="Q35">
        <f>SUM(Q4:Q33)</f>
        <v>240</v>
      </c>
      <c r="W35" s="16"/>
      <c r="X35" s="1"/>
      <c r="Y35" s="1"/>
      <c r="Z35" s="1"/>
      <c r="AA35" s="1"/>
      <c r="AB35" s="1"/>
      <c r="AC35" s="1"/>
      <c r="AD35" s="1"/>
      <c r="AE35" s="1"/>
      <c r="AF35" s="17"/>
      <c r="AG35" s="1"/>
    </row>
    <row r="36" spans="1:33" ht="15">
      <c r="A36" s="37">
        <v>1</v>
      </c>
      <c r="B36" s="40">
        <v>35</v>
      </c>
      <c r="C36" s="43">
        <v>0.82777777777777772</v>
      </c>
      <c r="D36" s="46">
        <v>0.84722222222222221</v>
      </c>
      <c r="E36" s="43">
        <v>0.85138888888888886</v>
      </c>
      <c r="F36" s="49">
        <f t="shared" si="3"/>
        <v>2.0833333333333259E-3</v>
      </c>
      <c r="G36" s="52">
        <f t="shared" si="0"/>
        <v>3</v>
      </c>
      <c r="H36" s="46">
        <f t="shared" si="1"/>
        <v>4.1666666666666519E-3</v>
      </c>
      <c r="I36" s="52">
        <f t="shared" si="2"/>
        <v>6</v>
      </c>
      <c r="J36" s="55" t="s">
        <v>12</v>
      </c>
      <c r="W36" s="22"/>
      <c r="X36" s="23"/>
      <c r="Y36" s="24" t="s">
        <v>33</v>
      </c>
      <c r="Z36" s="69" t="s">
        <v>34</v>
      </c>
      <c r="AA36" s="69"/>
      <c r="AB36" s="69"/>
      <c r="AC36" s="69"/>
      <c r="AD36" s="70"/>
      <c r="AE36" s="65"/>
      <c r="AF36" s="66"/>
      <c r="AG36" s="36"/>
    </row>
    <row r="37" spans="1:33" ht="15">
      <c r="A37" s="37">
        <v>1</v>
      </c>
      <c r="B37" s="40">
        <v>36</v>
      </c>
      <c r="C37" s="43">
        <v>0.8305555555555556</v>
      </c>
      <c r="D37" s="46">
        <v>0.85138888888888886</v>
      </c>
      <c r="E37" s="43">
        <v>0.8520833333333333</v>
      </c>
      <c r="F37" s="49">
        <f t="shared" si="3"/>
        <v>2.7777777777778789E-3</v>
      </c>
      <c r="G37" s="52">
        <f t="shared" si="0"/>
        <v>4</v>
      </c>
      <c r="H37" s="46">
        <f t="shared" si="1"/>
        <v>6.9444444444444198E-4</v>
      </c>
      <c r="I37" s="52">
        <f t="shared" si="2"/>
        <v>1</v>
      </c>
      <c r="J37" s="55" t="s">
        <v>12</v>
      </c>
    </row>
    <row r="38" spans="1:33" ht="15">
      <c r="A38" s="37">
        <v>1</v>
      </c>
      <c r="B38" s="40">
        <v>37</v>
      </c>
      <c r="C38" s="43">
        <v>0.84444444444444444</v>
      </c>
      <c r="D38" s="46">
        <v>0.8520833333333333</v>
      </c>
      <c r="E38" s="43">
        <v>0.85902777777777772</v>
      </c>
      <c r="F38" s="49">
        <f t="shared" si="3"/>
        <v>1.388888888888884E-2</v>
      </c>
      <c r="G38" s="52">
        <f t="shared" si="0"/>
        <v>20</v>
      </c>
      <c r="H38" s="46">
        <f t="shared" si="1"/>
        <v>6.9444444444444198E-3</v>
      </c>
      <c r="I38" s="52">
        <f t="shared" si="2"/>
        <v>10</v>
      </c>
      <c r="J38" s="55" t="s">
        <v>12</v>
      </c>
    </row>
    <row r="39" spans="1:33" ht="15">
      <c r="A39" s="37">
        <v>1</v>
      </c>
      <c r="B39" s="40">
        <v>38</v>
      </c>
      <c r="C39" s="43">
        <v>0.84513888888888888</v>
      </c>
      <c r="D39" s="46">
        <v>0.85902777777777772</v>
      </c>
      <c r="E39" s="43">
        <v>0.86041666666666672</v>
      </c>
      <c r="F39" s="49">
        <f t="shared" si="3"/>
        <v>6.9444444444444198E-4</v>
      </c>
      <c r="G39" s="52">
        <f t="shared" si="0"/>
        <v>1</v>
      </c>
      <c r="H39" s="46">
        <f t="shared" si="1"/>
        <v>1.388888888888995E-3</v>
      </c>
      <c r="I39" s="52">
        <f t="shared" si="2"/>
        <v>2</v>
      </c>
      <c r="J39" s="55" t="s">
        <v>12</v>
      </c>
    </row>
    <row r="40" spans="1:33" ht="21">
      <c r="A40" s="37">
        <v>1</v>
      </c>
      <c r="B40" s="40">
        <v>39</v>
      </c>
      <c r="C40" s="43">
        <v>0.85</v>
      </c>
      <c r="D40" s="46">
        <v>0.86041666666666672</v>
      </c>
      <c r="E40" s="43">
        <v>0.86111111111111116</v>
      </c>
      <c r="F40" s="49">
        <f t="shared" si="3"/>
        <v>4.8611111111110938E-3</v>
      </c>
      <c r="G40" s="52">
        <f t="shared" si="0"/>
        <v>7</v>
      </c>
      <c r="H40" s="46">
        <f t="shared" si="1"/>
        <v>6.9444444444444198E-4</v>
      </c>
      <c r="I40" s="52">
        <f t="shared" si="2"/>
        <v>1</v>
      </c>
      <c r="J40" s="55" t="s">
        <v>12</v>
      </c>
      <c r="Y40" s="35"/>
    </row>
    <row r="41" spans="1:33" ht="15">
      <c r="A41" s="38">
        <v>1</v>
      </c>
      <c r="B41" s="41">
        <v>40</v>
      </c>
      <c r="C41" s="44">
        <v>0.8569444444444444</v>
      </c>
      <c r="D41" s="47">
        <v>0.86111111111111116</v>
      </c>
      <c r="E41" s="44">
        <v>0.86319444444444449</v>
      </c>
      <c r="F41" s="50">
        <f t="shared" si="3"/>
        <v>6.9444444444444198E-3</v>
      </c>
      <c r="G41" s="53">
        <f t="shared" si="0"/>
        <v>10</v>
      </c>
      <c r="H41" s="47">
        <f t="shared" si="1"/>
        <v>2.0833333333333259E-3</v>
      </c>
      <c r="I41" s="53">
        <f t="shared" si="2"/>
        <v>3</v>
      </c>
      <c r="J41" s="56" t="s">
        <v>12</v>
      </c>
    </row>
    <row r="42" spans="1:33" ht="15">
      <c r="A42" s="37">
        <v>2</v>
      </c>
      <c r="B42" s="40">
        <v>41</v>
      </c>
      <c r="C42" s="43">
        <v>0.66666666666666663</v>
      </c>
      <c r="D42" s="46">
        <v>0.66666666666666663</v>
      </c>
      <c r="E42" s="43">
        <v>0.66736111111111107</v>
      </c>
      <c r="F42" s="49">
        <v>0</v>
      </c>
      <c r="G42" s="52">
        <f t="shared" si="0"/>
        <v>0</v>
      </c>
      <c r="H42" s="46">
        <f t="shared" si="1"/>
        <v>6.9444444444444198E-4</v>
      </c>
      <c r="I42" s="52">
        <f t="shared" si="2"/>
        <v>1</v>
      </c>
      <c r="J42" s="55" t="s">
        <v>42</v>
      </c>
    </row>
    <row r="43" spans="1:33" ht="15">
      <c r="A43" s="37">
        <v>2</v>
      </c>
      <c r="B43" s="40">
        <v>42</v>
      </c>
      <c r="C43" s="43">
        <v>0.6743055555555556</v>
      </c>
      <c r="D43" s="46">
        <v>0.6743055555555556</v>
      </c>
      <c r="E43" s="43">
        <v>0.67500000000000004</v>
      </c>
      <c r="F43" s="49">
        <f>C43-C42</f>
        <v>7.6388888888889728E-3</v>
      </c>
      <c r="G43" s="52">
        <f t="shared" si="0"/>
        <v>11</v>
      </c>
      <c r="H43" s="46">
        <f t="shared" si="1"/>
        <v>6.9444444444444198E-4</v>
      </c>
      <c r="I43" s="52">
        <f t="shared" si="2"/>
        <v>1</v>
      </c>
      <c r="J43" s="55" t="s">
        <v>12</v>
      </c>
    </row>
    <row r="44" spans="1:33" ht="15">
      <c r="A44" s="37">
        <v>2</v>
      </c>
      <c r="B44" s="40">
        <v>43</v>
      </c>
      <c r="C44" s="43">
        <v>0.67847222222222225</v>
      </c>
      <c r="D44" s="46">
        <v>0.67847222222222225</v>
      </c>
      <c r="E44" s="43">
        <v>0.68541666666666667</v>
      </c>
      <c r="F44" s="49">
        <f t="shared" ref="F44:F81" si="6">C44-C43</f>
        <v>4.1666666666666519E-3</v>
      </c>
      <c r="G44" s="52">
        <f t="shared" si="0"/>
        <v>6</v>
      </c>
      <c r="H44" s="46">
        <f t="shared" si="1"/>
        <v>6.9444444444444198E-3</v>
      </c>
      <c r="I44" s="52">
        <f t="shared" si="2"/>
        <v>10</v>
      </c>
      <c r="J44" s="55" t="s">
        <v>20</v>
      </c>
    </row>
    <row r="45" spans="1:33" ht="15">
      <c r="A45" s="37">
        <v>2</v>
      </c>
      <c r="B45" s="40">
        <v>44</v>
      </c>
      <c r="C45" s="43">
        <v>0.67986111111111114</v>
      </c>
      <c r="D45" s="46">
        <v>0.68541666666666667</v>
      </c>
      <c r="E45" s="43">
        <v>0.68611111111111112</v>
      </c>
      <c r="F45" s="49">
        <f t="shared" si="6"/>
        <v>1.388888888888884E-3</v>
      </c>
      <c r="G45" s="52">
        <f t="shared" si="0"/>
        <v>2</v>
      </c>
      <c r="H45" s="46">
        <f t="shared" si="1"/>
        <v>6.9444444444444198E-4</v>
      </c>
      <c r="I45" s="52">
        <f t="shared" si="2"/>
        <v>1</v>
      </c>
      <c r="J45" s="55" t="s">
        <v>20</v>
      </c>
    </row>
    <row r="46" spans="1:33" ht="15">
      <c r="A46" s="37">
        <v>2</v>
      </c>
      <c r="B46" s="40">
        <v>45</v>
      </c>
      <c r="C46" s="43">
        <v>0.67986111111111114</v>
      </c>
      <c r="D46" s="46">
        <v>0.68611111111111112</v>
      </c>
      <c r="E46" s="43">
        <v>0.68680555555555556</v>
      </c>
      <c r="F46" s="49">
        <f t="shared" si="6"/>
        <v>0</v>
      </c>
      <c r="G46" s="52">
        <f t="shared" si="0"/>
        <v>0</v>
      </c>
      <c r="H46" s="46">
        <f t="shared" si="1"/>
        <v>6.9444444444444198E-4</v>
      </c>
      <c r="I46" s="52">
        <f t="shared" si="2"/>
        <v>1</v>
      </c>
      <c r="J46" s="55" t="s">
        <v>42</v>
      </c>
    </row>
    <row r="47" spans="1:33" ht="15">
      <c r="A47" s="37">
        <v>2</v>
      </c>
      <c r="B47" s="40">
        <v>46</v>
      </c>
      <c r="C47" s="43">
        <v>0.69027777777777777</v>
      </c>
      <c r="D47" s="46">
        <v>0.69027777777777777</v>
      </c>
      <c r="E47" s="43">
        <v>0.69097222222222221</v>
      </c>
      <c r="F47" s="49">
        <f t="shared" si="6"/>
        <v>1.041666666666663E-2</v>
      </c>
      <c r="G47" s="52">
        <f t="shared" si="0"/>
        <v>15</v>
      </c>
      <c r="H47" s="46">
        <f t="shared" si="1"/>
        <v>6.9444444444444198E-4</v>
      </c>
      <c r="I47" s="52">
        <f t="shared" si="2"/>
        <v>1</v>
      </c>
      <c r="J47" s="55" t="s">
        <v>42</v>
      </c>
    </row>
    <row r="48" spans="1:33" ht="15">
      <c r="A48" s="37">
        <v>2</v>
      </c>
      <c r="B48" s="40">
        <v>47</v>
      </c>
      <c r="C48" s="43">
        <v>0.69444444444444442</v>
      </c>
      <c r="D48" s="46">
        <v>0.69444444444444442</v>
      </c>
      <c r="E48" s="43">
        <v>0.69513888888888886</v>
      </c>
      <c r="F48" s="49">
        <f t="shared" si="6"/>
        <v>4.1666666666666519E-3</v>
      </c>
      <c r="G48" s="52">
        <f t="shared" si="0"/>
        <v>6</v>
      </c>
      <c r="H48" s="46">
        <f t="shared" si="1"/>
        <v>6.9444444444444198E-4</v>
      </c>
      <c r="I48" s="52">
        <f t="shared" si="2"/>
        <v>1</v>
      </c>
      <c r="J48" s="55" t="s">
        <v>42</v>
      </c>
    </row>
    <row r="49" spans="1:25" ht="15">
      <c r="A49" s="37">
        <v>2</v>
      </c>
      <c r="B49" s="40">
        <v>48</v>
      </c>
      <c r="C49" s="43">
        <v>0.6958333333333333</v>
      </c>
      <c r="D49" s="46">
        <v>0.6958333333333333</v>
      </c>
      <c r="E49" s="43">
        <v>0.70416666666666672</v>
      </c>
      <c r="F49" s="49">
        <f t="shared" si="6"/>
        <v>1.388888888888884E-3</v>
      </c>
      <c r="G49" s="52">
        <f t="shared" si="0"/>
        <v>2</v>
      </c>
      <c r="H49" s="46">
        <f t="shared" si="1"/>
        <v>8.3333333333334147E-3</v>
      </c>
      <c r="I49" s="52">
        <f t="shared" si="2"/>
        <v>12</v>
      </c>
      <c r="J49" s="55" t="s">
        <v>42</v>
      </c>
    </row>
    <row r="50" spans="1:25" ht="15">
      <c r="A50" s="37">
        <v>2</v>
      </c>
      <c r="B50" s="40">
        <v>49</v>
      </c>
      <c r="C50" s="43">
        <v>0.69930555555555551</v>
      </c>
      <c r="D50" s="46">
        <v>0.70416666666666672</v>
      </c>
      <c r="E50" s="43">
        <v>0.70486111111111116</v>
      </c>
      <c r="F50" s="49">
        <f t="shared" si="6"/>
        <v>3.4722222222222099E-3</v>
      </c>
      <c r="G50" s="52">
        <f t="shared" si="0"/>
        <v>5</v>
      </c>
      <c r="H50" s="46">
        <f t="shared" si="1"/>
        <v>6.9444444444444198E-4</v>
      </c>
      <c r="I50" s="52">
        <f t="shared" si="2"/>
        <v>1</v>
      </c>
      <c r="J50" s="55" t="s">
        <v>20</v>
      </c>
    </row>
    <row r="51" spans="1:25" ht="15">
      <c r="A51" s="37">
        <v>2</v>
      </c>
      <c r="B51" s="40">
        <v>50</v>
      </c>
      <c r="C51" s="43">
        <v>0.70694444444444449</v>
      </c>
      <c r="D51" s="46">
        <v>0.70694444444444449</v>
      </c>
      <c r="E51" s="43">
        <v>0.70833333333333337</v>
      </c>
      <c r="F51" s="49">
        <f t="shared" si="6"/>
        <v>7.6388888888889728E-3</v>
      </c>
      <c r="G51" s="52">
        <f t="shared" si="0"/>
        <v>11</v>
      </c>
      <c r="H51" s="46">
        <f t="shared" si="1"/>
        <v>1.388888888888884E-3</v>
      </c>
      <c r="I51" s="52">
        <f t="shared" si="2"/>
        <v>2</v>
      </c>
      <c r="J51" s="55" t="s">
        <v>42</v>
      </c>
    </row>
    <row r="52" spans="1:25" ht="15">
      <c r="A52" s="37">
        <v>2</v>
      </c>
      <c r="B52" s="40">
        <v>51</v>
      </c>
      <c r="C52" s="43">
        <v>0.70902777777777781</v>
      </c>
      <c r="D52" s="46">
        <v>0.70902777777777781</v>
      </c>
      <c r="E52" s="43">
        <v>0.7104166666666667</v>
      </c>
      <c r="F52" s="49">
        <f t="shared" si="6"/>
        <v>2.0833333333333259E-3</v>
      </c>
      <c r="G52" s="52">
        <f t="shared" si="0"/>
        <v>3</v>
      </c>
      <c r="H52" s="46">
        <f t="shared" si="1"/>
        <v>1.388888888888884E-3</v>
      </c>
      <c r="I52" s="52">
        <f t="shared" si="2"/>
        <v>2</v>
      </c>
      <c r="J52" s="55" t="s">
        <v>42</v>
      </c>
    </row>
    <row r="53" spans="1:25" ht="15">
      <c r="A53" s="37">
        <v>2</v>
      </c>
      <c r="B53" s="40">
        <v>52</v>
      </c>
      <c r="C53" s="43">
        <v>0.71111111111111114</v>
      </c>
      <c r="D53" s="46">
        <v>0.71111111111111114</v>
      </c>
      <c r="E53" s="43">
        <v>0.71319444444444446</v>
      </c>
      <c r="F53" s="49">
        <f t="shared" si="6"/>
        <v>2.0833333333333259E-3</v>
      </c>
      <c r="G53" s="52">
        <f t="shared" si="0"/>
        <v>3</v>
      </c>
      <c r="H53" s="46">
        <f t="shared" si="1"/>
        <v>2.0833333333333259E-3</v>
      </c>
      <c r="I53" s="52">
        <f t="shared" si="2"/>
        <v>3</v>
      </c>
      <c r="J53" s="55" t="s">
        <v>42</v>
      </c>
    </row>
    <row r="54" spans="1:25" ht="15">
      <c r="A54" s="37">
        <v>2</v>
      </c>
      <c r="B54" s="40">
        <v>53</v>
      </c>
      <c r="C54" s="43">
        <v>0.71180555555555558</v>
      </c>
      <c r="D54" s="46">
        <v>0.71319444444444446</v>
      </c>
      <c r="E54" s="43">
        <v>0.71388888888888891</v>
      </c>
      <c r="F54" s="49">
        <f t="shared" si="6"/>
        <v>6.9444444444444198E-4</v>
      </c>
      <c r="G54" s="52">
        <f t="shared" si="0"/>
        <v>1</v>
      </c>
      <c r="H54" s="46">
        <f t="shared" si="1"/>
        <v>6.9444444444444198E-4</v>
      </c>
      <c r="I54" s="52">
        <f t="shared" si="2"/>
        <v>1</v>
      </c>
      <c r="J54" s="55" t="s">
        <v>42</v>
      </c>
    </row>
    <row r="55" spans="1:25" ht="15">
      <c r="A55" s="37">
        <v>2</v>
      </c>
      <c r="B55" s="40">
        <v>54</v>
      </c>
      <c r="C55" s="43">
        <v>0.71180555555555558</v>
      </c>
      <c r="D55" s="46">
        <v>0.71388888888888891</v>
      </c>
      <c r="E55" s="43">
        <v>0.71458333333333335</v>
      </c>
      <c r="F55" s="49">
        <f t="shared" si="6"/>
        <v>0</v>
      </c>
      <c r="G55" s="52">
        <f t="shared" si="0"/>
        <v>0</v>
      </c>
      <c r="H55" s="46">
        <f t="shared" si="1"/>
        <v>6.9444444444444198E-4</v>
      </c>
      <c r="I55" s="52">
        <f t="shared" si="2"/>
        <v>1</v>
      </c>
      <c r="J55" s="55" t="s">
        <v>42</v>
      </c>
    </row>
    <row r="56" spans="1:25" ht="15">
      <c r="A56" s="37">
        <v>2</v>
      </c>
      <c r="B56" s="40">
        <v>55</v>
      </c>
      <c r="C56" s="43">
        <v>0.71736111111111112</v>
      </c>
      <c r="D56" s="46">
        <v>0.71736111111111112</v>
      </c>
      <c r="E56" s="43">
        <v>0.71875</v>
      </c>
      <c r="F56" s="49">
        <f t="shared" si="6"/>
        <v>5.5555555555555358E-3</v>
      </c>
      <c r="G56" s="52">
        <f t="shared" si="0"/>
        <v>8</v>
      </c>
      <c r="H56" s="46">
        <f t="shared" si="1"/>
        <v>1.388888888888884E-3</v>
      </c>
      <c r="I56" s="52">
        <f t="shared" si="2"/>
        <v>2</v>
      </c>
      <c r="J56" s="55" t="s">
        <v>43</v>
      </c>
    </row>
    <row r="57" spans="1:25" ht="15">
      <c r="A57" s="37">
        <v>2</v>
      </c>
      <c r="B57" s="40">
        <v>56</v>
      </c>
      <c r="C57" s="43">
        <v>0.71805555555555556</v>
      </c>
      <c r="D57" s="46">
        <v>0.71875</v>
      </c>
      <c r="E57" s="43">
        <v>0.72152777777777777</v>
      </c>
      <c r="F57" s="49">
        <f t="shared" si="6"/>
        <v>6.9444444444444198E-4</v>
      </c>
      <c r="G57" s="52">
        <f t="shared" si="0"/>
        <v>1</v>
      </c>
      <c r="H57" s="46">
        <f t="shared" si="1"/>
        <v>2.7777777777777679E-3</v>
      </c>
      <c r="I57" s="52">
        <f t="shared" si="2"/>
        <v>4</v>
      </c>
      <c r="J57" s="55" t="s">
        <v>42</v>
      </c>
    </row>
    <row r="58" spans="1:25" ht="15">
      <c r="A58" s="37">
        <v>2</v>
      </c>
      <c r="B58" s="40">
        <v>57</v>
      </c>
      <c r="C58" s="43">
        <v>0.72013888888888888</v>
      </c>
      <c r="D58" s="46">
        <v>0.72152777777777777</v>
      </c>
      <c r="E58" s="43">
        <v>0.72291666666666665</v>
      </c>
      <c r="F58" s="49">
        <f t="shared" si="6"/>
        <v>2.0833333333333259E-3</v>
      </c>
      <c r="G58" s="52">
        <f t="shared" si="0"/>
        <v>3</v>
      </c>
      <c r="H58" s="46">
        <f t="shared" si="1"/>
        <v>1.388888888888884E-3</v>
      </c>
      <c r="I58" s="52">
        <f t="shared" si="2"/>
        <v>2</v>
      </c>
      <c r="J58" s="55" t="s">
        <v>42</v>
      </c>
    </row>
    <row r="59" spans="1:25" ht="15">
      <c r="A59" s="37">
        <v>2</v>
      </c>
      <c r="B59" s="40">
        <v>58</v>
      </c>
      <c r="C59" s="43">
        <v>0.72152777777777777</v>
      </c>
      <c r="D59" s="46">
        <v>0.72291666666666665</v>
      </c>
      <c r="E59" s="43">
        <v>0.72361111111111109</v>
      </c>
      <c r="F59" s="49">
        <f t="shared" si="6"/>
        <v>1.388888888888884E-3</v>
      </c>
      <c r="G59" s="52">
        <f t="shared" si="0"/>
        <v>2</v>
      </c>
      <c r="H59" s="46">
        <f t="shared" si="1"/>
        <v>6.9444444444444198E-4</v>
      </c>
      <c r="I59" s="52">
        <f t="shared" si="2"/>
        <v>1</v>
      </c>
      <c r="J59" s="55" t="s">
        <v>42</v>
      </c>
    </row>
    <row r="60" spans="1:25" ht="15">
      <c r="A60" s="37">
        <v>2</v>
      </c>
      <c r="B60" s="40">
        <v>59</v>
      </c>
      <c r="C60" s="43">
        <v>0.72499999999999998</v>
      </c>
      <c r="D60" s="46">
        <v>0.72499999999999998</v>
      </c>
      <c r="E60" s="43">
        <v>0.72638888888888886</v>
      </c>
      <c r="F60" s="49">
        <f t="shared" si="6"/>
        <v>3.4722222222222099E-3</v>
      </c>
      <c r="G60" s="52">
        <f t="shared" si="0"/>
        <v>5</v>
      </c>
      <c r="H60" s="46">
        <f t="shared" si="1"/>
        <v>1.388888888888884E-3</v>
      </c>
      <c r="I60" s="52">
        <f t="shared" si="2"/>
        <v>2</v>
      </c>
      <c r="J60" s="55" t="s">
        <v>42</v>
      </c>
    </row>
    <row r="61" spans="1:25" ht="15">
      <c r="A61" s="37">
        <v>2</v>
      </c>
      <c r="B61" s="40">
        <v>60</v>
      </c>
      <c r="C61" s="43">
        <v>0.72569444444444442</v>
      </c>
      <c r="D61" s="46">
        <v>0.72638888888888886</v>
      </c>
      <c r="E61" s="43">
        <v>0.72916666666666663</v>
      </c>
      <c r="F61" s="49">
        <f t="shared" si="6"/>
        <v>6.9444444444444198E-4</v>
      </c>
      <c r="G61" s="52">
        <f t="shared" si="0"/>
        <v>1</v>
      </c>
      <c r="H61" s="46">
        <f t="shared" si="1"/>
        <v>2.7777777777777679E-3</v>
      </c>
      <c r="I61" s="52">
        <f t="shared" si="2"/>
        <v>4</v>
      </c>
      <c r="J61" s="55" t="s">
        <v>42</v>
      </c>
    </row>
    <row r="62" spans="1:25" ht="15">
      <c r="A62" s="37">
        <v>2</v>
      </c>
      <c r="B62" s="40">
        <v>61</v>
      </c>
      <c r="C62" s="43">
        <v>0.73055555555555551</v>
      </c>
      <c r="D62" s="46">
        <v>0.73055555555555551</v>
      </c>
      <c r="E62" s="43">
        <v>0.7319444444444444</v>
      </c>
      <c r="F62" s="49">
        <f t="shared" si="6"/>
        <v>4.8611111111110938E-3</v>
      </c>
      <c r="G62" s="52">
        <f t="shared" si="0"/>
        <v>7</v>
      </c>
      <c r="H62" s="46">
        <f t="shared" si="1"/>
        <v>1.388888888888884E-3</v>
      </c>
      <c r="I62" s="52">
        <f t="shared" si="2"/>
        <v>2</v>
      </c>
      <c r="J62" s="55" t="s">
        <v>43</v>
      </c>
    </row>
    <row r="63" spans="1:25" ht="21">
      <c r="A63" s="37">
        <v>2</v>
      </c>
      <c r="B63" s="40">
        <v>62</v>
      </c>
      <c r="C63" s="43">
        <v>0.7368055555555556</v>
      </c>
      <c r="D63" s="46">
        <v>0.7368055555555556</v>
      </c>
      <c r="E63" s="43">
        <v>0.73819444444444449</v>
      </c>
      <c r="F63" s="49">
        <f t="shared" si="6"/>
        <v>6.2500000000000888E-3</v>
      </c>
      <c r="G63" s="52">
        <f t="shared" si="0"/>
        <v>9</v>
      </c>
      <c r="H63" s="46">
        <f t="shared" si="1"/>
        <v>1.388888888888884E-3</v>
      </c>
      <c r="I63" s="52">
        <f t="shared" si="2"/>
        <v>2</v>
      </c>
      <c r="J63" s="55" t="s">
        <v>42</v>
      </c>
      <c r="Y63" s="35"/>
    </row>
    <row r="64" spans="1:25" ht="15">
      <c r="A64" s="37">
        <v>2</v>
      </c>
      <c r="B64" s="40">
        <v>63</v>
      </c>
      <c r="C64" s="43">
        <v>0.75277777777777777</v>
      </c>
      <c r="D64" s="46">
        <v>0.75277777777777777</v>
      </c>
      <c r="E64" s="43">
        <v>0.75694444444444442</v>
      </c>
      <c r="F64" s="49">
        <f t="shared" si="6"/>
        <v>1.5972222222222165E-2</v>
      </c>
      <c r="G64" s="52">
        <f t="shared" si="0"/>
        <v>23</v>
      </c>
      <c r="H64" s="46">
        <f t="shared" si="1"/>
        <v>4.1666666666666519E-3</v>
      </c>
      <c r="I64" s="52">
        <f t="shared" si="2"/>
        <v>6</v>
      </c>
      <c r="J64" s="55" t="s">
        <v>43</v>
      </c>
    </row>
    <row r="65" spans="1:11" ht="15">
      <c r="A65" s="37">
        <v>2</v>
      </c>
      <c r="B65" s="40">
        <v>64</v>
      </c>
      <c r="C65" s="43">
        <v>0.75624999999999998</v>
      </c>
      <c r="D65" s="46">
        <v>0.75694444444444442</v>
      </c>
      <c r="E65" s="43">
        <v>0.76041666666666663</v>
      </c>
      <c r="F65" s="49">
        <f t="shared" si="6"/>
        <v>3.4722222222222099E-3</v>
      </c>
      <c r="G65" s="52">
        <f t="shared" si="0"/>
        <v>5</v>
      </c>
      <c r="H65" s="46">
        <f t="shared" si="1"/>
        <v>3.4722222222222099E-3</v>
      </c>
      <c r="I65" s="52">
        <f t="shared" si="2"/>
        <v>5</v>
      </c>
      <c r="J65" s="55" t="s">
        <v>42</v>
      </c>
    </row>
    <row r="66" spans="1:11" ht="15">
      <c r="A66" s="37">
        <v>2</v>
      </c>
      <c r="B66" s="40">
        <v>65</v>
      </c>
      <c r="C66" s="43">
        <v>0.75763888888888886</v>
      </c>
      <c r="D66" s="46">
        <v>0.76041666666666663</v>
      </c>
      <c r="E66" s="43">
        <v>0.76180555555555551</v>
      </c>
      <c r="F66" s="49">
        <f t="shared" si="6"/>
        <v>1.388888888888884E-3</v>
      </c>
      <c r="G66" s="52">
        <f t="shared" si="0"/>
        <v>2</v>
      </c>
      <c r="H66" s="46">
        <f t="shared" si="1"/>
        <v>1.388888888888884E-3</v>
      </c>
      <c r="I66" s="52">
        <f t="shared" si="2"/>
        <v>2</v>
      </c>
      <c r="J66" s="55" t="s">
        <v>42</v>
      </c>
    </row>
    <row r="67" spans="1:11" ht="15">
      <c r="A67" s="37">
        <v>2</v>
      </c>
      <c r="B67" s="40">
        <v>66</v>
      </c>
      <c r="C67" s="43">
        <v>0.75902777777777775</v>
      </c>
      <c r="D67" s="46">
        <v>0.76180555555555551</v>
      </c>
      <c r="E67" s="43">
        <v>0.7680555555555556</v>
      </c>
      <c r="F67" s="49">
        <f t="shared" si="6"/>
        <v>1.388888888888884E-3</v>
      </c>
      <c r="G67" s="52">
        <f t="shared" ref="G67:G130" si="7">MINUTE(F67)</f>
        <v>2</v>
      </c>
      <c r="H67" s="46">
        <f t="shared" ref="H67:H130" si="8">E67-D67</f>
        <v>6.2500000000000888E-3</v>
      </c>
      <c r="I67" s="52">
        <f t="shared" ref="I67:I130" si="9">MINUTE(H67)</f>
        <v>9</v>
      </c>
      <c r="J67" s="55" t="s">
        <v>42</v>
      </c>
    </row>
    <row r="68" spans="1:11" ht="15">
      <c r="A68" s="37">
        <v>2</v>
      </c>
      <c r="B68" s="40">
        <v>67</v>
      </c>
      <c r="C68" s="43">
        <v>0.76736111111111116</v>
      </c>
      <c r="D68" s="46">
        <v>0.7680555555555556</v>
      </c>
      <c r="E68" s="43">
        <v>0.77361111111111114</v>
      </c>
      <c r="F68" s="49">
        <f t="shared" si="6"/>
        <v>8.3333333333334147E-3</v>
      </c>
      <c r="G68" s="52">
        <f t="shared" si="7"/>
        <v>12</v>
      </c>
      <c r="H68" s="46">
        <f t="shared" si="8"/>
        <v>5.5555555555555358E-3</v>
      </c>
      <c r="I68" s="52">
        <f t="shared" si="9"/>
        <v>8</v>
      </c>
      <c r="J68" s="55" t="s">
        <v>42</v>
      </c>
    </row>
    <row r="69" spans="1:11" ht="15">
      <c r="A69" s="37">
        <v>2</v>
      </c>
      <c r="B69" s="40">
        <v>68</v>
      </c>
      <c r="C69" s="43">
        <v>0.77222222222222225</v>
      </c>
      <c r="D69" s="46">
        <v>0.77361111111111114</v>
      </c>
      <c r="E69" s="43">
        <v>0.77638888888888891</v>
      </c>
      <c r="F69" s="49">
        <f t="shared" si="6"/>
        <v>4.8611111111110938E-3</v>
      </c>
      <c r="G69" s="52">
        <f t="shared" si="7"/>
        <v>7</v>
      </c>
      <c r="H69" s="46">
        <f t="shared" si="8"/>
        <v>2.7777777777777679E-3</v>
      </c>
      <c r="I69" s="52">
        <f t="shared" si="9"/>
        <v>4</v>
      </c>
      <c r="J69" s="55" t="s">
        <v>42</v>
      </c>
    </row>
    <row r="70" spans="1:11" ht="15">
      <c r="A70" s="37">
        <v>2</v>
      </c>
      <c r="B70" s="40">
        <v>69</v>
      </c>
      <c r="C70" s="43">
        <v>0.77361111111111114</v>
      </c>
      <c r="D70" s="46">
        <v>0.78194444444444444</v>
      </c>
      <c r="E70" s="43">
        <v>0.78472222222222221</v>
      </c>
      <c r="F70" s="49">
        <f>C70-C69</f>
        <v>1.388888888888884E-3</v>
      </c>
      <c r="G70" s="52">
        <f t="shared" si="7"/>
        <v>2</v>
      </c>
      <c r="H70" s="46">
        <f>E70-D70</f>
        <v>2.7777777777777679E-3</v>
      </c>
      <c r="I70" s="52">
        <f t="shared" si="9"/>
        <v>4</v>
      </c>
      <c r="J70" s="55" t="s">
        <v>42</v>
      </c>
    </row>
    <row r="71" spans="1:11" ht="15">
      <c r="A71" s="37">
        <v>2</v>
      </c>
      <c r="B71" s="40">
        <v>70</v>
      </c>
      <c r="C71" s="43">
        <v>0.77500000000000002</v>
      </c>
      <c r="D71" s="46">
        <v>0.77638888888888891</v>
      </c>
      <c r="E71" s="43">
        <v>0.78125</v>
      </c>
      <c r="F71" s="49">
        <f t="shared" si="6"/>
        <v>1.388888888888884E-3</v>
      </c>
      <c r="G71" s="52">
        <f t="shared" si="7"/>
        <v>2</v>
      </c>
      <c r="H71" s="46">
        <f>E71-D71</f>
        <v>4.8611111111110938E-3</v>
      </c>
      <c r="I71" s="52">
        <f t="shared" si="9"/>
        <v>7</v>
      </c>
      <c r="J71" s="55" t="s">
        <v>20</v>
      </c>
      <c r="K71" t="s">
        <v>44</v>
      </c>
    </row>
    <row r="72" spans="1:11" ht="15">
      <c r="A72" s="37">
        <v>2</v>
      </c>
      <c r="B72" s="40">
        <v>71</v>
      </c>
      <c r="C72" s="43">
        <v>0.77847222222222223</v>
      </c>
      <c r="D72" s="46">
        <v>0.78125</v>
      </c>
      <c r="E72" s="43">
        <v>0.78194444444444444</v>
      </c>
      <c r="F72" s="49">
        <f t="shared" si="6"/>
        <v>3.4722222222222099E-3</v>
      </c>
      <c r="G72" s="52">
        <f t="shared" si="7"/>
        <v>5</v>
      </c>
      <c r="H72" s="46">
        <f t="shared" si="8"/>
        <v>6.9444444444444198E-4</v>
      </c>
      <c r="I72" s="52">
        <f t="shared" si="9"/>
        <v>1</v>
      </c>
      <c r="J72" s="55" t="s">
        <v>20</v>
      </c>
    </row>
    <row r="73" spans="1:11" ht="15">
      <c r="A73" s="37">
        <v>2</v>
      </c>
      <c r="B73" s="40">
        <v>72</v>
      </c>
      <c r="C73" s="43">
        <v>0.78333333333333333</v>
      </c>
      <c r="D73" s="46">
        <v>0.78472222222222221</v>
      </c>
      <c r="E73" s="43">
        <v>0.78541666666666665</v>
      </c>
      <c r="F73" s="49">
        <f t="shared" si="6"/>
        <v>4.8611111111110938E-3</v>
      </c>
      <c r="G73" s="52">
        <f t="shared" si="7"/>
        <v>7</v>
      </c>
      <c r="H73" s="46">
        <f t="shared" si="8"/>
        <v>6.9444444444444198E-4</v>
      </c>
      <c r="I73" s="52">
        <f t="shared" si="9"/>
        <v>1</v>
      </c>
      <c r="J73" s="55" t="s">
        <v>12</v>
      </c>
    </row>
    <row r="74" spans="1:11" ht="15">
      <c r="A74" s="37">
        <v>2</v>
      </c>
      <c r="B74" s="40">
        <v>73</v>
      </c>
      <c r="C74" s="43">
        <v>0.78819444444444442</v>
      </c>
      <c r="D74" s="46">
        <v>0.78819444444444442</v>
      </c>
      <c r="E74" s="43">
        <v>0.78888888888888886</v>
      </c>
      <c r="F74" s="49">
        <f t="shared" si="6"/>
        <v>4.8611111111110938E-3</v>
      </c>
      <c r="G74" s="52">
        <f t="shared" si="7"/>
        <v>7</v>
      </c>
      <c r="H74" s="46">
        <f t="shared" si="8"/>
        <v>6.9444444444444198E-4</v>
      </c>
      <c r="I74" s="52">
        <f t="shared" si="9"/>
        <v>1</v>
      </c>
      <c r="J74" s="55" t="s">
        <v>42</v>
      </c>
    </row>
    <row r="75" spans="1:11" ht="15">
      <c r="A75" s="37">
        <v>2</v>
      </c>
      <c r="B75" s="40">
        <v>74</v>
      </c>
      <c r="C75" s="43">
        <v>0.78819444444444442</v>
      </c>
      <c r="D75" s="46">
        <v>0.78888888888888886</v>
      </c>
      <c r="E75" s="43">
        <v>0.79027777777777775</v>
      </c>
      <c r="F75" s="49">
        <f t="shared" si="6"/>
        <v>0</v>
      </c>
      <c r="G75" s="52">
        <f t="shared" si="7"/>
        <v>0</v>
      </c>
      <c r="H75" s="46">
        <f t="shared" si="8"/>
        <v>1.388888888888884E-3</v>
      </c>
      <c r="I75" s="52">
        <f t="shared" si="9"/>
        <v>2</v>
      </c>
      <c r="J75" s="55" t="s">
        <v>42</v>
      </c>
    </row>
    <row r="76" spans="1:11" ht="15">
      <c r="A76" s="37">
        <v>2</v>
      </c>
      <c r="B76" s="40">
        <v>75</v>
      </c>
      <c r="C76" s="43">
        <v>0.7944444444444444</v>
      </c>
      <c r="D76" s="46">
        <v>0.7944444444444444</v>
      </c>
      <c r="E76" s="43">
        <v>0.79791666666666672</v>
      </c>
      <c r="F76" s="49">
        <f t="shared" si="6"/>
        <v>6.2499999999999778E-3</v>
      </c>
      <c r="G76" s="52">
        <f t="shared" si="7"/>
        <v>9</v>
      </c>
      <c r="H76" s="46">
        <f t="shared" si="8"/>
        <v>3.4722222222223209E-3</v>
      </c>
      <c r="I76" s="52">
        <f t="shared" si="9"/>
        <v>5</v>
      </c>
      <c r="J76" s="55" t="s">
        <v>42</v>
      </c>
    </row>
    <row r="77" spans="1:11" ht="15">
      <c r="A77" s="37">
        <v>2</v>
      </c>
      <c r="B77" s="40">
        <v>76</v>
      </c>
      <c r="C77" s="43">
        <v>0.8</v>
      </c>
      <c r="D77" s="46">
        <v>0.80833333333333324</v>
      </c>
      <c r="E77" s="43">
        <v>0.81111111111111101</v>
      </c>
      <c r="F77" s="49">
        <f t="shared" si="6"/>
        <v>5.5555555555556468E-3</v>
      </c>
      <c r="G77" s="52">
        <f t="shared" si="7"/>
        <v>8</v>
      </c>
      <c r="H77" s="46">
        <f t="shared" si="8"/>
        <v>2.7777777777777679E-3</v>
      </c>
      <c r="I77" s="52">
        <f t="shared" si="9"/>
        <v>4</v>
      </c>
      <c r="J77" s="55" t="s">
        <v>42</v>
      </c>
    </row>
    <row r="78" spans="1:11" ht="15">
      <c r="A78" s="37">
        <v>2</v>
      </c>
      <c r="B78" s="40">
        <v>77</v>
      </c>
      <c r="C78" s="43">
        <v>0.8</v>
      </c>
      <c r="D78" s="46">
        <v>0.79999999999999993</v>
      </c>
      <c r="E78" s="43">
        <v>0.80833333333333324</v>
      </c>
      <c r="F78" s="49">
        <f t="shared" si="6"/>
        <v>0</v>
      </c>
      <c r="G78" s="52">
        <f t="shared" si="7"/>
        <v>0</v>
      </c>
      <c r="H78" s="46">
        <f t="shared" si="8"/>
        <v>8.3333333333333037E-3</v>
      </c>
      <c r="I78" s="52">
        <f t="shared" si="9"/>
        <v>12</v>
      </c>
      <c r="J78" s="55" t="s">
        <v>43</v>
      </c>
      <c r="K78" t="s">
        <v>44</v>
      </c>
    </row>
    <row r="79" spans="1:11" ht="15">
      <c r="A79" s="37">
        <v>2</v>
      </c>
      <c r="B79" s="40">
        <v>78</v>
      </c>
      <c r="C79" s="43">
        <v>0.8</v>
      </c>
      <c r="D79" s="46">
        <v>0.81111111111111112</v>
      </c>
      <c r="E79" s="43">
        <v>0.81180555555555556</v>
      </c>
      <c r="F79" s="49">
        <f t="shared" si="6"/>
        <v>0</v>
      </c>
      <c r="G79" s="52">
        <f t="shared" si="7"/>
        <v>0</v>
      </c>
      <c r="H79" s="46">
        <f t="shared" si="8"/>
        <v>6.9444444444444198E-4</v>
      </c>
      <c r="I79" s="52">
        <f t="shared" si="9"/>
        <v>1</v>
      </c>
      <c r="J79" s="55" t="s">
        <v>42</v>
      </c>
    </row>
    <row r="80" spans="1:11" ht="15">
      <c r="A80" s="37">
        <v>2</v>
      </c>
      <c r="B80" s="40">
        <v>79</v>
      </c>
      <c r="C80" s="43">
        <v>0.8</v>
      </c>
      <c r="D80" s="46">
        <v>0.81180555555555556</v>
      </c>
      <c r="E80" s="43">
        <v>0.81388888888888888</v>
      </c>
      <c r="F80" s="49">
        <f t="shared" si="6"/>
        <v>0</v>
      </c>
      <c r="G80" s="52">
        <f t="shared" si="7"/>
        <v>0</v>
      </c>
      <c r="H80" s="46">
        <f t="shared" si="8"/>
        <v>2.0833333333333259E-3</v>
      </c>
      <c r="I80" s="52">
        <f t="shared" si="9"/>
        <v>3</v>
      </c>
      <c r="J80" s="55" t="s">
        <v>42</v>
      </c>
    </row>
    <row r="81" spans="1:10" ht="15">
      <c r="A81" s="38">
        <v>2</v>
      </c>
      <c r="B81" s="41">
        <v>80</v>
      </c>
      <c r="C81" s="44">
        <v>0.81458333333333333</v>
      </c>
      <c r="D81" s="47">
        <v>0.81458333333333333</v>
      </c>
      <c r="E81" s="44">
        <v>0.81805555555555554</v>
      </c>
      <c r="F81" s="50">
        <f t="shared" si="6"/>
        <v>1.4583333333333282E-2</v>
      </c>
      <c r="G81" s="53">
        <f t="shared" si="7"/>
        <v>21</v>
      </c>
      <c r="H81" s="47">
        <f t="shared" si="8"/>
        <v>3.4722222222222099E-3</v>
      </c>
      <c r="I81" s="53">
        <f t="shared" si="9"/>
        <v>5</v>
      </c>
      <c r="J81" s="56" t="s">
        <v>42</v>
      </c>
    </row>
    <row r="82" spans="1:10" ht="15">
      <c r="A82" s="37">
        <v>3</v>
      </c>
      <c r="B82" s="40">
        <v>81</v>
      </c>
      <c r="C82" s="43">
        <v>0.66666666666666663</v>
      </c>
      <c r="D82" s="46">
        <v>0.66666666666666663</v>
      </c>
      <c r="E82" s="43">
        <v>0.67777777777777781</v>
      </c>
      <c r="F82" s="49">
        <v>0</v>
      </c>
      <c r="G82" s="52">
        <f t="shared" si="7"/>
        <v>0</v>
      </c>
      <c r="H82" s="46">
        <f t="shared" si="8"/>
        <v>1.1111111111111183E-2</v>
      </c>
      <c r="I82" s="52">
        <f t="shared" si="9"/>
        <v>16</v>
      </c>
      <c r="J82" s="55" t="s">
        <v>42</v>
      </c>
    </row>
    <row r="83" spans="1:10" ht="15">
      <c r="A83" s="37">
        <v>3</v>
      </c>
      <c r="B83" s="40">
        <v>82</v>
      </c>
      <c r="C83" s="43">
        <v>0.66805555555555551</v>
      </c>
      <c r="D83" s="46">
        <v>0.68125000000000002</v>
      </c>
      <c r="E83" s="43">
        <v>0.68819444444444444</v>
      </c>
      <c r="F83" s="49">
        <f>C83-C82</f>
        <v>1.388888888888884E-3</v>
      </c>
      <c r="G83" s="52">
        <f t="shared" si="7"/>
        <v>2</v>
      </c>
      <c r="H83" s="46">
        <f t="shared" si="8"/>
        <v>6.9444444444444198E-3</v>
      </c>
      <c r="I83" s="52">
        <f t="shared" si="9"/>
        <v>10</v>
      </c>
      <c r="J83" s="55" t="s">
        <v>42</v>
      </c>
    </row>
    <row r="84" spans="1:10" ht="15">
      <c r="A84" s="37">
        <v>3</v>
      </c>
      <c r="B84" s="40">
        <v>83</v>
      </c>
      <c r="C84" s="43">
        <v>0.6694444444444444</v>
      </c>
      <c r="D84" s="46">
        <v>0.67777777777777781</v>
      </c>
      <c r="E84" s="43">
        <v>0.68125000000000002</v>
      </c>
      <c r="F84" s="49">
        <f t="shared" ref="F84:F121" si="10">C84-C83</f>
        <v>1.388888888888884E-3</v>
      </c>
      <c r="G84" s="52">
        <f t="shared" si="7"/>
        <v>2</v>
      </c>
      <c r="H84" s="46">
        <f t="shared" si="8"/>
        <v>3.4722222222222099E-3</v>
      </c>
      <c r="I84" s="52">
        <f t="shared" si="9"/>
        <v>5</v>
      </c>
      <c r="J84" s="55" t="s">
        <v>43</v>
      </c>
    </row>
    <row r="85" spans="1:10" ht="15">
      <c r="A85" s="37">
        <v>3</v>
      </c>
      <c r="B85" s="40">
        <v>84</v>
      </c>
      <c r="C85" s="43">
        <v>0.6743055555555556</v>
      </c>
      <c r="D85" s="46">
        <v>0.68819444444444444</v>
      </c>
      <c r="E85" s="43">
        <v>0.68888888888888888</v>
      </c>
      <c r="F85" s="49">
        <f t="shared" si="10"/>
        <v>4.8611111111112049E-3</v>
      </c>
      <c r="G85" s="52">
        <f t="shared" si="7"/>
        <v>7</v>
      </c>
      <c r="H85" s="46">
        <f t="shared" si="8"/>
        <v>6.9444444444444198E-4</v>
      </c>
      <c r="I85" s="52">
        <f t="shared" si="9"/>
        <v>1</v>
      </c>
      <c r="J85" s="55" t="s">
        <v>42</v>
      </c>
    </row>
    <row r="86" spans="1:10" ht="15">
      <c r="A86" s="37">
        <v>3</v>
      </c>
      <c r="B86" s="40">
        <v>85</v>
      </c>
      <c r="C86" s="43">
        <v>0.67500000000000004</v>
      </c>
      <c r="D86" s="46">
        <v>0.68888888888888888</v>
      </c>
      <c r="E86" s="43">
        <v>0.69305555555555554</v>
      </c>
      <c r="F86" s="49">
        <f t="shared" si="10"/>
        <v>6.9444444444444198E-4</v>
      </c>
      <c r="G86" s="52">
        <f t="shared" si="7"/>
        <v>1</v>
      </c>
      <c r="H86" s="46">
        <f t="shared" si="8"/>
        <v>4.1666666666666519E-3</v>
      </c>
      <c r="I86" s="52">
        <f t="shared" si="9"/>
        <v>6</v>
      </c>
      <c r="J86" s="55" t="s">
        <v>42</v>
      </c>
    </row>
    <row r="87" spans="1:10" ht="15">
      <c r="A87" s="37">
        <v>3</v>
      </c>
      <c r="B87" s="40">
        <v>86</v>
      </c>
      <c r="C87" s="43">
        <v>0.67500000000000004</v>
      </c>
      <c r="D87" s="46">
        <v>0.69305555555555554</v>
      </c>
      <c r="E87" s="43">
        <v>0.69444444444444442</v>
      </c>
      <c r="F87" s="49">
        <f t="shared" si="10"/>
        <v>0</v>
      </c>
      <c r="G87" s="52">
        <f t="shared" si="7"/>
        <v>0</v>
      </c>
      <c r="H87" s="46">
        <f t="shared" si="8"/>
        <v>1.388888888888884E-3</v>
      </c>
      <c r="I87" s="52">
        <f t="shared" si="9"/>
        <v>2</v>
      </c>
      <c r="J87" s="55" t="s">
        <v>42</v>
      </c>
    </row>
    <row r="88" spans="1:10" ht="15">
      <c r="A88" s="37">
        <v>3</v>
      </c>
      <c r="B88" s="40">
        <v>87</v>
      </c>
      <c r="C88" s="43">
        <v>0.67569444444444449</v>
      </c>
      <c r="D88" s="46">
        <v>0.69444444444444442</v>
      </c>
      <c r="E88" s="43">
        <v>0.69791666666666663</v>
      </c>
      <c r="F88" s="49">
        <f t="shared" si="10"/>
        <v>6.9444444444444198E-4</v>
      </c>
      <c r="G88" s="52">
        <f t="shared" si="7"/>
        <v>1</v>
      </c>
      <c r="H88" s="46">
        <f t="shared" si="8"/>
        <v>3.4722222222222099E-3</v>
      </c>
      <c r="I88" s="52">
        <f t="shared" si="9"/>
        <v>5</v>
      </c>
      <c r="J88" s="55" t="s">
        <v>42</v>
      </c>
    </row>
    <row r="89" spans="1:10" ht="15">
      <c r="A89" s="37">
        <v>3</v>
      </c>
      <c r="B89" s="40">
        <v>88</v>
      </c>
      <c r="C89" s="43">
        <v>0.69374999999999998</v>
      </c>
      <c r="D89" s="46">
        <v>0.69791666666666663</v>
      </c>
      <c r="E89" s="43">
        <v>0.71319444444444446</v>
      </c>
      <c r="F89" s="49">
        <f t="shared" si="10"/>
        <v>1.8055555555555491E-2</v>
      </c>
      <c r="G89" s="52">
        <f t="shared" si="7"/>
        <v>26</v>
      </c>
      <c r="H89" s="46">
        <f t="shared" si="8"/>
        <v>1.5277777777777835E-2</v>
      </c>
      <c r="I89" s="52">
        <f t="shared" si="9"/>
        <v>22</v>
      </c>
      <c r="J89" s="55" t="s">
        <v>42</v>
      </c>
    </row>
    <row r="90" spans="1:10" ht="15">
      <c r="A90" s="37">
        <v>3</v>
      </c>
      <c r="B90" s="40">
        <v>89</v>
      </c>
      <c r="C90" s="43">
        <v>0.69374999999999998</v>
      </c>
      <c r="D90" s="46">
        <v>0.71319444444444446</v>
      </c>
      <c r="E90" s="43">
        <v>0.71805555555555556</v>
      </c>
      <c r="F90" s="49">
        <f t="shared" si="10"/>
        <v>0</v>
      </c>
      <c r="G90" s="52">
        <f t="shared" si="7"/>
        <v>0</v>
      </c>
      <c r="H90" s="46">
        <f t="shared" si="8"/>
        <v>4.8611111111110938E-3</v>
      </c>
      <c r="I90" s="52">
        <f t="shared" si="9"/>
        <v>7</v>
      </c>
      <c r="J90" s="55" t="s">
        <v>42</v>
      </c>
    </row>
    <row r="91" spans="1:10" ht="15">
      <c r="A91" s="37">
        <v>3</v>
      </c>
      <c r="B91" s="40">
        <v>90</v>
      </c>
      <c r="C91" s="43">
        <v>0.7</v>
      </c>
      <c r="D91" s="46">
        <v>0.72361111111111109</v>
      </c>
      <c r="E91" s="43">
        <v>0.72638888888888886</v>
      </c>
      <c r="F91" s="49">
        <f t="shared" si="10"/>
        <v>6.2499999999999778E-3</v>
      </c>
      <c r="G91" s="52">
        <f t="shared" si="7"/>
        <v>9</v>
      </c>
      <c r="H91" s="46">
        <f t="shared" si="8"/>
        <v>2.7777777777777679E-3</v>
      </c>
      <c r="I91" s="52">
        <f t="shared" si="9"/>
        <v>4</v>
      </c>
      <c r="J91" s="55" t="s">
        <v>42</v>
      </c>
    </row>
    <row r="92" spans="1:10" ht="15">
      <c r="A92" s="37">
        <v>3</v>
      </c>
      <c r="B92" s="40">
        <v>91</v>
      </c>
      <c r="C92" s="43">
        <v>0.70138888888888884</v>
      </c>
      <c r="D92" s="46">
        <v>0.72638888888888886</v>
      </c>
      <c r="E92" s="43">
        <v>0.7270833333333333</v>
      </c>
      <c r="F92" s="49">
        <f t="shared" si="10"/>
        <v>1.388888888888884E-3</v>
      </c>
      <c r="G92" s="52">
        <f t="shared" si="7"/>
        <v>2</v>
      </c>
      <c r="H92" s="46">
        <f t="shared" si="8"/>
        <v>6.9444444444444198E-4</v>
      </c>
      <c r="I92" s="52">
        <f t="shared" si="9"/>
        <v>1</v>
      </c>
      <c r="J92" s="55" t="s">
        <v>42</v>
      </c>
    </row>
    <row r="93" spans="1:10" ht="15">
      <c r="A93" s="37">
        <v>3</v>
      </c>
      <c r="B93" s="40">
        <v>92</v>
      </c>
      <c r="C93" s="43">
        <v>0.70277777777777772</v>
      </c>
      <c r="D93" s="46">
        <v>0.7270833333333333</v>
      </c>
      <c r="E93" s="43">
        <v>0.72986111111111107</v>
      </c>
      <c r="F93" s="49">
        <f t="shared" si="10"/>
        <v>1.388888888888884E-3</v>
      </c>
      <c r="G93" s="52">
        <f t="shared" si="7"/>
        <v>2</v>
      </c>
      <c r="H93" s="46">
        <f t="shared" si="8"/>
        <v>2.7777777777777679E-3</v>
      </c>
      <c r="I93" s="52">
        <f t="shared" si="9"/>
        <v>4</v>
      </c>
      <c r="J93" s="55" t="s">
        <v>42</v>
      </c>
    </row>
    <row r="94" spans="1:10" ht="15">
      <c r="A94" s="37">
        <v>3</v>
      </c>
      <c r="B94" s="40">
        <v>93</v>
      </c>
      <c r="C94" s="43">
        <v>0.70625000000000004</v>
      </c>
      <c r="D94" s="46">
        <v>0.72986111111111107</v>
      </c>
      <c r="E94" s="43">
        <v>0.7319444444444444</v>
      </c>
      <c r="F94" s="49">
        <f t="shared" si="10"/>
        <v>3.4722222222223209E-3</v>
      </c>
      <c r="G94" s="52">
        <f t="shared" si="7"/>
        <v>5</v>
      </c>
      <c r="H94" s="46">
        <f t="shared" si="8"/>
        <v>2.0833333333333259E-3</v>
      </c>
      <c r="I94" s="52">
        <f t="shared" si="9"/>
        <v>3</v>
      </c>
      <c r="J94" s="55" t="s">
        <v>42</v>
      </c>
    </row>
    <row r="95" spans="1:10" ht="15">
      <c r="A95" s="37">
        <v>3</v>
      </c>
      <c r="B95" s="40">
        <v>94</v>
      </c>
      <c r="C95" s="43">
        <v>0.71250000000000002</v>
      </c>
      <c r="D95" s="46">
        <v>0.7319444444444444</v>
      </c>
      <c r="E95" s="43">
        <v>0.73541666666666672</v>
      </c>
      <c r="F95" s="49">
        <f t="shared" si="10"/>
        <v>6.2499999999999778E-3</v>
      </c>
      <c r="G95" s="52">
        <f t="shared" si="7"/>
        <v>9</v>
      </c>
      <c r="H95" s="46">
        <f t="shared" si="8"/>
        <v>3.4722222222223209E-3</v>
      </c>
      <c r="I95" s="52">
        <f t="shared" si="9"/>
        <v>5</v>
      </c>
      <c r="J95" s="55" t="s">
        <v>42</v>
      </c>
    </row>
    <row r="96" spans="1:10" ht="15">
      <c r="A96" s="37">
        <v>3</v>
      </c>
      <c r="B96" s="40">
        <v>95</v>
      </c>
      <c r="C96" s="43">
        <v>0.71666666666666667</v>
      </c>
      <c r="D96" s="46">
        <v>0.71805555555555556</v>
      </c>
      <c r="E96" s="43">
        <v>0.72361111111111109</v>
      </c>
      <c r="F96" s="49">
        <f t="shared" si="10"/>
        <v>4.1666666666666519E-3</v>
      </c>
      <c r="G96" s="52">
        <f t="shared" si="7"/>
        <v>6</v>
      </c>
      <c r="H96" s="46">
        <f t="shared" si="8"/>
        <v>5.5555555555555358E-3</v>
      </c>
      <c r="I96" s="52">
        <f t="shared" si="9"/>
        <v>8</v>
      </c>
      <c r="J96" s="55" t="s">
        <v>43</v>
      </c>
    </row>
    <row r="97" spans="1:10" ht="15">
      <c r="A97" s="37">
        <v>3</v>
      </c>
      <c r="B97" s="40">
        <v>96</v>
      </c>
      <c r="C97" s="43">
        <v>0.72569444444444442</v>
      </c>
      <c r="D97" s="46">
        <v>0.73958333333333337</v>
      </c>
      <c r="E97" s="43">
        <v>0.74375000000000002</v>
      </c>
      <c r="F97" s="49">
        <f t="shared" si="10"/>
        <v>9.0277777777777457E-3</v>
      </c>
      <c r="G97" s="52">
        <f t="shared" si="7"/>
        <v>13</v>
      </c>
      <c r="H97" s="46">
        <f t="shared" si="8"/>
        <v>4.1666666666666519E-3</v>
      </c>
      <c r="I97" s="52">
        <f t="shared" si="9"/>
        <v>6</v>
      </c>
      <c r="J97" s="55" t="s">
        <v>42</v>
      </c>
    </row>
    <row r="98" spans="1:10" ht="15">
      <c r="A98" s="37">
        <v>3</v>
      </c>
      <c r="B98" s="40">
        <v>97</v>
      </c>
      <c r="C98" s="43">
        <v>0.7270833333333333</v>
      </c>
      <c r="D98" s="46">
        <v>0.74375000000000002</v>
      </c>
      <c r="E98" s="43">
        <v>0.74513888888888891</v>
      </c>
      <c r="F98" s="49">
        <f t="shared" si="10"/>
        <v>1.388888888888884E-3</v>
      </c>
      <c r="G98" s="52">
        <f t="shared" si="7"/>
        <v>2</v>
      </c>
      <c r="H98" s="46">
        <f t="shared" si="8"/>
        <v>1.388888888888884E-3</v>
      </c>
      <c r="I98" s="52">
        <f t="shared" si="9"/>
        <v>2</v>
      </c>
      <c r="J98" s="55" t="s">
        <v>42</v>
      </c>
    </row>
    <row r="99" spans="1:10" ht="15">
      <c r="A99" s="37">
        <v>3</v>
      </c>
      <c r="B99" s="40">
        <v>98</v>
      </c>
      <c r="C99" s="43">
        <v>0.73472222222222228</v>
      </c>
      <c r="D99" s="46">
        <v>0.74513888888888891</v>
      </c>
      <c r="E99" s="43">
        <v>0.75</v>
      </c>
      <c r="F99" s="49">
        <f t="shared" si="10"/>
        <v>7.6388888888889728E-3</v>
      </c>
      <c r="G99" s="52">
        <f t="shared" si="7"/>
        <v>11</v>
      </c>
      <c r="H99" s="46">
        <f t="shared" si="8"/>
        <v>4.8611111111110938E-3</v>
      </c>
      <c r="I99" s="52">
        <f t="shared" si="9"/>
        <v>7</v>
      </c>
      <c r="J99" s="55" t="s">
        <v>42</v>
      </c>
    </row>
    <row r="100" spans="1:10" ht="15">
      <c r="A100" s="37">
        <v>3</v>
      </c>
      <c r="B100" s="40">
        <v>99</v>
      </c>
      <c r="C100" s="43">
        <v>0.73541666666666672</v>
      </c>
      <c r="D100" s="46">
        <v>0.73541666666666672</v>
      </c>
      <c r="E100" s="43">
        <v>0.73958333333333337</v>
      </c>
      <c r="F100" s="49">
        <f t="shared" si="10"/>
        <v>6.9444444444444198E-4</v>
      </c>
      <c r="G100" s="52">
        <f t="shared" si="7"/>
        <v>1</v>
      </c>
      <c r="H100" s="46">
        <f t="shared" si="8"/>
        <v>4.1666666666666519E-3</v>
      </c>
      <c r="I100" s="52">
        <f t="shared" si="9"/>
        <v>6</v>
      </c>
      <c r="J100" s="55" t="s">
        <v>43</v>
      </c>
    </row>
    <row r="101" spans="1:10" ht="15">
      <c r="A101" s="37">
        <v>3</v>
      </c>
      <c r="B101" s="40">
        <v>100</v>
      </c>
      <c r="C101" s="43">
        <v>0.7368055555555556</v>
      </c>
      <c r="D101" s="46">
        <v>0.75</v>
      </c>
      <c r="E101" s="43">
        <v>0.75069444444444444</v>
      </c>
      <c r="F101" s="49">
        <f t="shared" si="10"/>
        <v>1.388888888888884E-3</v>
      </c>
      <c r="G101" s="52">
        <f t="shared" si="7"/>
        <v>2</v>
      </c>
      <c r="H101" s="46">
        <f t="shared" si="8"/>
        <v>6.9444444444444198E-4</v>
      </c>
      <c r="I101" s="52">
        <f t="shared" si="9"/>
        <v>1</v>
      </c>
      <c r="J101" s="55" t="s">
        <v>42</v>
      </c>
    </row>
    <row r="102" spans="1:10" ht="15">
      <c r="A102" s="37">
        <v>3</v>
      </c>
      <c r="B102" s="40">
        <v>101</v>
      </c>
      <c r="C102" s="43">
        <v>0.7368055555555556</v>
      </c>
      <c r="D102" s="46">
        <v>0.75069444444444444</v>
      </c>
      <c r="E102" s="43">
        <v>0.75624999999999998</v>
      </c>
      <c r="F102" s="49">
        <f t="shared" si="10"/>
        <v>0</v>
      </c>
      <c r="G102" s="52">
        <f t="shared" si="7"/>
        <v>0</v>
      </c>
      <c r="H102" s="46">
        <f t="shared" si="8"/>
        <v>5.5555555555555358E-3</v>
      </c>
      <c r="I102" s="52">
        <f t="shared" si="9"/>
        <v>8</v>
      </c>
      <c r="J102" s="55" t="s">
        <v>42</v>
      </c>
    </row>
    <row r="103" spans="1:10" ht="15">
      <c r="A103" s="37">
        <v>3</v>
      </c>
      <c r="B103" s="40">
        <v>102</v>
      </c>
      <c r="C103" s="43">
        <v>0.73958333333333337</v>
      </c>
      <c r="D103" s="46">
        <v>0.75902777777777775</v>
      </c>
      <c r="E103" s="43">
        <v>0.76111111111111107</v>
      </c>
      <c r="F103" s="49">
        <f t="shared" si="10"/>
        <v>2.7777777777777679E-3</v>
      </c>
      <c r="G103" s="52">
        <f t="shared" si="7"/>
        <v>4</v>
      </c>
      <c r="H103" s="46">
        <f t="shared" si="8"/>
        <v>2.0833333333333259E-3</v>
      </c>
      <c r="I103" s="52">
        <f t="shared" si="9"/>
        <v>3</v>
      </c>
      <c r="J103" s="55" t="s">
        <v>42</v>
      </c>
    </row>
    <row r="104" spans="1:10" ht="15">
      <c r="A104" s="37">
        <v>3</v>
      </c>
      <c r="B104" s="40">
        <v>103</v>
      </c>
      <c r="C104" s="43">
        <v>0.74097222222222225</v>
      </c>
      <c r="D104" s="46">
        <v>0.76111111111111107</v>
      </c>
      <c r="E104" s="43">
        <v>0.76736111111111116</v>
      </c>
      <c r="F104" s="49">
        <f t="shared" si="10"/>
        <v>1.388888888888884E-3</v>
      </c>
      <c r="G104" s="52">
        <f t="shared" si="7"/>
        <v>2</v>
      </c>
      <c r="H104" s="46">
        <f t="shared" si="8"/>
        <v>6.2500000000000888E-3</v>
      </c>
      <c r="I104" s="52">
        <f t="shared" si="9"/>
        <v>9</v>
      </c>
      <c r="J104" s="55" t="s">
        <v>42</v>
      </c>
    </row>
    <row r="105" spans="1:10" ht="15">
      <c r="A105" s="37">
        <v>3</v>
      </c>
      <c r="B105" s="40">
        <v>104</v>
      </c>
      <c r="C105" s="43">
        <v>0.7416666666666667</v>
      </c>
      <c r="D105" s="46">
        <v>0.76736111111111116</v>
      </c>
      <c r="E105" s="43">
        <v>0.77152777777777781</v>
      </c>
      <c r="F105" s="49">
        <f t="shared" si="10"/>
        <v>6.9444444444444198E-4</v>
      </c>
      <c r="G105" s="52">
        <f t="shared" si="7"/>
        <v>1</v>
      </c>
      <c r="H105" s="46">
        <f t="shared" si="8"/>
        <v>4.1666666666666519E-3</v>
      </c>
      <c r="I105" s="52">
        <f t="shared" si="9"/>
        <v>6</v>
      </c>
      <c r="J105" s="55" t="s">
        <v>42</v>
      </c>
    </row>
    <row r="106" spans="1:10" ht="15">
      <c r="A106" s="37">
        <v>3</v>
      </c>
      <c r="B106" s="40">
        <v>105</v>
      </c>
      <c r="C106" s="43">
        <v>0.7416666666666667</v>
      </c>
      <c r="D106" s="46">
        <v>0.7715277777777777</v>
      </c>
      <c r="E106" s="43">
        <v>0.77222222222222225</v>
      </c>
      <c r="F106" s="49">
        <f t="shared" si="10"/>
        <v>0</v>
      </c>
      <c r="G106" s="52">
        <f t="shared" si="7"/>
        <v>0</v>
      </c>
      <c r="H106" s="46">
        <f t="shared" si="8"/>
        <v>6.94444444444553E-4</v>
      </c>
      <c r="I106" s="52">
        <f t="shared" si="9"/>
        <v>1</v>
      </c>
      <c r="J106" s="55" t="s">
        <v>42</v>
      </c>
    </row>
    <row r="107" spans="1:10" ht="15">
      <c r="A107" s="37">
        <v>3</v>
      </c>
      <c r="B107" s="40">
        <v>106</v>
      </c>
      <c r="C107" s="43">
        <v>0.75138888888888888</v>
      </c>
      <c r="D107" s="46">
        <v>0.75624999999999998</v>
      </c>
      <c r="E107" s="43">
        <v>0.75694444444444442</v>
      </c>
      <c r="F107" s="49">
        <f t="shared" si="10"/>
        <v>9.7222222222221877E-3</v>
      </c>
      <c r="G107" s="52">
        <f t="shared" si="7"/>
        <v>14</v>
      </c>
      <c r="H107" s="46">
        <f t="shared" si="8"/>
        <v>6.9444444444444198E-4</v>
      </c>
      <c r="I107" s="52">
        <f t="shared" si="9"/>
        <v>1</v>
      </c>
      <c r="J107" s="55" t="s">
        <v>43</v>
      </c>
    </row>
    <row r="108" spans="1:10" ht="15">
      <c r="A108" s="37">
        <v>3</v>
      </c>
      <c r="B108" s="40">
        <v>107</v>
      </c>
      <c r="C108" s="43">
        <v>0.75208333333333333</v>
      </c>
      <c r="D108" s="46">
        <v>0.75694444444444442</v>
      </c>
      <c r="E108" s="43">
        <v>0.75902777777777775</v>
      </c>
      <c r="F108" s="49">
        <f t="shared" si="10"/>
        <v>6.9444444444444198E-4</v>
      </c>
      <c r="G108" s="52">
        <f t="shared" si="7"/>
        <v>1</v>
      </c>
      <c r="H108" s="46">
        <f t="shared" si="8"/>
        <v>2.0833333333333259E-3</v>
      </c>
      <c r="I108" s="52">
        <f t="shared" si="9"/>
        <v>3</v>
      </c>
      <c r="J108" s="55" t="s">
        <v>43</v>
      </c>
    </row>
    <row r="109" spans="1:10" ht="15">
      <c r="A109" s="37">
        <v>3</v>
      </c>
      <c r="B109" s="40">
        <v>108</v>
      </c>
      <c r="C109" s="43">
        <v>0.75347222222222221</v>
      </c>
      <c r="D109" s="46">
        <v>0.77222222222222225</v>
      </c>
      <c r="E109" s="43">
        <v>0.77708333333333335</v>
      </c>
      <c r="F109" s="49">
        <f t="shared" si="10"/>
        <v>1.388888888888884E-3</v>
      </c>
      <c r="G109" s="52">
        <f t="shared" si="7"/>
        <v>2</v>
      </c>
      <c r="H109" s="46">
        <f t="shared" si="8"/>
        <v>4.8611111111110938E-3</v>
      </c>
      <c r="I109" s="52">
        <f t="shared" si="9"/>
        <v>7</v>
      </c>
      <c r="J109" s="55" t="s">
        <v>42</v>
      </c>
    </row>
    <row r="110" spans="1:10" ht="15">
      <c r="A110" s="37">
        <v>3</v>
      </c>
      <c r="B110" s="40">
        <v>109</v>
      </c>
      <c r="C110" s="43">
        <v>0.75416666666666665</v>
      </c>
      <c r="D110" s="46">
        <v>0.77708333333333335</v>
      </c>
      <c r="E110" s="43">
        <v>0.77986111111111112</v>
      </c>
      <c r="F110" s="49">
        <f t="shared" si="10"/>
        <v>6.9444444444444198E-4</v>
      </c>
      <c r="G110" s="52">
        <f t="shared" si="7"/>
        <v>1</v>
      </c>
      <c r="H110" s="46">
        <f t="shared" si="8"/>
        <v>2.7777777777777679E-3</v>
      </c>
      <c r="I110" s="52">
        <f t="shared" si="9"/>
        <v>4</v>
      </c>
      <c r="J110" s="55" t="s">
        <v>42</v>
      </c>
    </row>
    <row r="111" spans="1:10" ht="15">
      <c r="A111" s="37">
        <v>3</v>
      </c>
      <c r="B111" s="40">
        <v>110</v>
      </c>
      <c r="C111" s="43">
        <v>0.76249999999999996</v>
      </c>
      <c r="D111" s="46">
        <v>0.77986111111111112</v>
      </c>
      <c r="E111" s="43">
        <v>0.78055555555555556</v>
      </c>
      <c r="F111" s="49">
        <f t="shared" si="10"/>
        <v>8.3333333333333037E-3</v>
      </c>
      <c r="G111" s="52">
        <f t="shared" si="7"/>
        <v>12</v>
      </c>
      <c r="H111" s="46">
        <f t="shared" si="8"/>
        <v>6.9444444444444198E-4</v>
      </c>
      <c r="I111" s="52">
        <f t="shared" si="9"/>
        <v>1</v>
      </c>
      <c r="J111" s="55" t="s">
        <v>42</v>
      </c>
    </row>
    <row r="112" spans="1:10" ht="15">
      <c r="A112" s="37">
        <v>3</v>
      </c>
      <c r="B112" s="40">
        <v>111</v>
      </c>
      <c r="C112" s="43">
        <v>0.76249999999999996</v>
      </c>
      <c r="D112" s="46">
        <v>0.78055555555555556</v>
      </c>
      <c r="E112" s="43">
        <v>0.78472222222222221</v>
      </c>
      <c r="F112" s="49">
        <f t="shared" si="10"/>
        <v>0</v>
      </c>
      <c r="G112" s="52">
        <f t="shared" si="7"/>
        <v>0</v>
      </c>
      <c r="H112" s="46">
        <f t="shared" si="8"/>
        <v>4.1666666666666519E-3</v>
      </c>
      <c r="I112" s="52">
        <f t="shared" si="9"/>
        <v>6</v>
      </c>
      <c r="J112" s="55" t="s">
        <v>42</v>
      </c>
    </row>
    <row r="113" spans="1:10" ht="15">
      <c r="A113" s="37">
        <v>3</v>
      </c>
      <c r="B113" s="40">
        <v>112</v>
      </c>
      <c r="C113" s="43">
        <v>0.76597222222222228</v>
      </c>
      <c r="D113" s="46">
        <v>0.78472222222222221</v>
      </c>
      <c r="E113" s="43">
        <v>0.78888888888888886</v>
      </c>
      <c r="F113" s="49">
        <f t="shared" si="10"/>
        <v>3.4722222222223209E-3</v>
      </c>
      <c r="G113" s="52">
        <f t="shared" si="7"/>
        <v>5</v>
      </c>
      <c r="H113" s="46">
        <f t="shared" si="8"/>
        <v>4.1666666666666519E-3</v>
      </c>
      <c r="I113" s="52">
        <f t="shared" si="9"/>
        <v>6</v>
      </c>
      <c r="J113" s="55" t="s">
        <v>42</v>
      </c>
    </row>
    <row r="114" spans="1:10" ht="15">
      <c r="A114" s="37">
        <v>3</v>
      </c>
      <c r="B114" s="40">
        <v>113</v>
      </c>
      <c r="C114" s="43">
        <v>0.76597222222222228</v>
      </c>
      <c r="D114" s="46">
        <v>0.78888888888888886</v>
      </c>
      <c r="E114" s="43">
        <v>0.79097222222222219</v>
      </c>
      <c r="F114" s="49">
        <f t="shared" si="10"/>
        <v>0</v>
      </c>
      <c r="G114" s="52">
        <f t="shared" si="7"/>
        <v>0</v>
      </c>
      <c r="H114" s="46">
        <f t="shared" si="8"/>
        <v>2.0833333333333259E-3</v>
      </c>
      <c r="I114" s="52">
        <f t="shared" si="9"/>
        <v>3</v>
      </c>
      <c r="J114" s="55" t="s">
        <v>42</v>
      </c>
    </row>
    <row r="115" spans="1:10" ht="15">
      <c r="A115" s="37">
        <v>3</v>
      </c>
      <c r="B115" s="40">
        <v>114</v>
      </c>
      <c r="C115" s="43">
        <v>0.7680555555555556</v>
      </c>
      <c r="D115" s="46">
        <v>0.79097222222222219</v>
      </c>
      <c r="E115" s="43">
        <v>0.79166666666666663</v>
      </c>
      <c r="F115" s="49">
        <f t="shared" si="10"/>
        <v>2.0833333333333259E-3</v>
      </c>
      <c r="G115" s="52">
        <f t="shared" si="7"/>
        <v>3</v>
      </c>
      <c r="H115" s="46">
        <f t="shared" si="8"/>
        <v>6.9444444444444198E-4</v>
      </c>
      <c r="I115" s="52">
        <f t="shared" si="9"/>
        <v>1</v>
      </c>
      <c r="J115" s="55" t="s">
        <v>42</v>
      </c>
    </row>
    <row r="116" spans="1:10" ht="15">
      <c r="A116" s="37">
        <v>3</v>
      </c>
      <c r="B116" s="40">
        <v>115</v>
      </c>
      <c r="C116" s="43">
        <v>0.7680555555555556</v>
      </c>
      <c r="D116" s="46">
        <v>0.79166666666666663</v>
      </c>
      <c r="E116" s="43">
        <v>0.79236111111111107</v>
      </c>
      <c r="F116" s="49">
        <f t="shared" si="10"/>
        <v>0</v>
      </c>
      <c r="G116" s="52">
        <f t="shared" si="7"/>
        <v>0</v>
      </c>
      <c r="H116" s="46">
        <f t="shared" si="8"/>
        <v>6.9444444444444198E-4</v>
      </c>
      <c r="I116" s="52">
        <f t="shared" si="9"/>
        <v>1</v>
      </c>
      <c r="J116" s="55" t="s">
        <v>42</v>
      </c>
    </row>
    <row r="117" spans="1:10" ht="15">
      <c r="A117" s="37">
        <v>3</v>
      </c>
      <c r="B117" s="40">
        <v>116</v>
      </c>
      <c r="C117" s="43">
        <v>0.77013888888888893</v>
      </c>
      <c r="D117" s="46">
        <v>0.79236111111111107</v>
      </c>
      <c r="E117" s="43">
        <v>0.79861111111111116</v>
      </c>
      <c r="F117" s="49">
        <f t="shared" si="10"/>
        <v>2.0833333333333259E-3</v>
      </c>
      <c r="G117" s="52">
        <f t="shared" si="7"/>
        <v>3</v>
      </c>
      <c r="H117" s="46">
        <f t="shared" si="8"/>
        <v>6.2500000000000888E-3</v>
      </c>
      <c r="I117" s="52">
        <f t="shared" si="9"/>
        <v>9</v>
      </c>
      <c r="J117" s="55" t="s">
        <v>42</v>
      </c>
    </row>
    <row r="118" spans="1:10" ht="15">
      <c r="A118" s="37">
        <v>3</v>
      </c>
      <c r="B118" s="40">
        <v>117</v>
      </c>
      <c r="C118" s="43">
        <v>0.77083333333333337</v>
      </c>
      <c r="D118" s="46">
        <v>0.79861111111111116</v>
      </c>
      <c r="E118" s="43">
        <v>0.80138888888888893</v>
      </c>
      <c r="F118" s="49">
        <f t="shared" si="10"/>
        <v>6.9444444444444198E-4</v>
      </c>
      <c r="G118" s="52">
        <f t="shared" si="7"/>
        <v>1</v>
      </c>
      <c r="H118" s="46">
        <f t="shared" si="8"/>
        <v>2.7777777777777679E-3</v>
      </c>
      <c r="I118" s="52">
        <f t="shared" si="9"/>
        <v>4</v>
      </c>
      <c r="J118" s="55" t="s">
        <v>42</v>
      </c>
    </row>
    <row r="119" spans="1:10" ht="15">
      <c r="A119" s="37">
        <v>3</v>
      </c>
      <c r="B119" s="40">
        <v>118</v>
      </c>
      <c r="C119" s="43">
        <v>0.77083333333333337</v>
      </c>
      <c r="D119" s="46">
        <v>0.80138888888888893</v>
      </c>
      <c r="E119" s="43">
        <v>0.80347222222222225</v>
      </c>
      <c r="F119" s="49">
        <f t="shared" si="10"/>
        <v>0</v>
      </c>
      <c r="G119" s="52">
        <f t="shared" si="7"/>
        <v>0</v>
      </c>
      <c r="H119" s="46">
        <f t="shared" si="8"/>
        <v>2.0833333333333259E-3</v>
      </c>
      <c r="I119" s="52">
        <f t="shared" si="9"/>
        <v>3</v>
      </c>
      <c r="J119" s="55" t="s">
        <v>42</v>
      </c>
    </row>
    <row r="120" spans="1:10" ht="15">
      <c r="A120" s="37">
        <v>3</v>
      </c>
      <c r="B120" s="40">
        <v>119</v>
      </c>
      <c r="C120" s="43">
        <v>0.77361111111111114</v>
      </c>
      <c r="D120" s="46">
        <v>0.80347222222222225</v>
      </c>
      <c r="E120" s="43">
        <v>0.8041666666666667</v>
      </c>
      <c r="F120" s="49">
        <f t="shared" si="10"/>
        <v>2.7777777777777679E-3</v>
      </c>
      <c r="G120" s="52">
        <f t="shared" si="7"/>
        <v>4</v>
      </c>
      <c r="H120" s="46">
        <f t="shared" si="8"/>
        <v>6.9444444444444198E-4</v>
      </c>
      <c r="I120" s="52">
        <f t="shared" si="9"/>
        <v>1</v>
      </c>
      <c r="J120" s="55" t="s">
        <v>42</v>
      </c>
    </row>
    <row r="121" spans="1:10" ht="15">
      <c r="A121" s="38">
        <v>3</v>
      </c>
      <c r="B121" s="41">
        <v>120</v>
      </c>
      <c r="C121" s="44">
        <v>0.77430555555555558</v>
      </c>
      <c r="D121" s="47">
        <v>0.8041666666666667</v>
      </c>
      <c r="E121" s="44">
        <v>0.81319444444444444</v>
      </c>
      <c r="F121" s="50">
        <f t="shared" si="10"/>
        <v>6.9444444444444198E-4</v>
      </c>
      <c r="G121" s="53">
        <f t="shared" si="7"/>
        <v>1</v>
      </c>
      <c r="H121" s="47">
        <f t="shared" si="8"/>
        <v>9.0277777777777457E-3</v>
      </c>
      <c r="I121" s="53">
        <f t="shared" si="9"/>
        <v>13</v>
      </c>
      <c r="J121" s="56" t="s">
        <v>42</v>
      </c>
    </row>
    <row r="122" spans="1:10" ht="15">
      <c r="A122" s="37">
        <v>4</v>
      </c>
      <c r="B122" s="40">
        <v>121</v>
      </c>
      <c r="C122" s="43">
        <v>0.66666666666666663</v>
      </c>
      <c r="D122" s="46">
        <v>0.66666666666666663</v>
      </c>
      <c r="E122" s="43">
        <v>0.66736111111111107</v>
      </c>
      <c r="F122" s="49">
        <v>0</v>
      </c>
      <c r="G122" s="52">
        <f t="shared" si="7"/>
        <v>0</v>
      </c>
      <c r="H122" s="46">
        <f t="shared" si="8"/>
        <v>6.9444444444444198E-4</v>
      </c>
      <c r="I122" s="52">
        <f t="shared" si="9"/>
        <v>1</v>
      </c>
      <c r="J122" s="55" t="s">
        <v>42</v>
      </c>
    </row>
    <row r="123" spans="1:10" ht="15">
      <c r="A123" s="37">
        <v>4</v>
      </c>
      <c r="B123" s="40">
        <v>122</v>
      </c>
      <c r="C123" s="43">
        <v>0.66736111111111107</v>
      </c>
      <c r="D123" s="46">
        <v>0.66736111111111107</v>
      </c>
      <c r="E123" s="43">
        <v>0.6694444444444444</v>
      </c>
      <c r="F123" s="49">
        <f>C123-C122</f>
        <v>6.9444444444444198E-4</v>
      </c>
      <c r="G123" s="52">
        <f t="shared" si="7"/>
        <v>1</v>
      </c>
      <c r="H123" s="46">
        <f t="shared" si="8"/>
        <v>2.0833333333333259E-3</v>
      </c>
      <c r="I123" s="52">
        <f t="shared" si="9"/>
        <v>3</v>
      </c>
      <c r="J123" s="55" t="s">
        <v>42</v>
      </c>
    </row>
    <row r="124" spans="1:10" ht="15">
      <c r="A124" s="37">
        <v>4</v>
      </c>
      <c r="B124" s="40">
        <v>123</v>
      </c>
      <c r="C124" s="43">
        <v>0.66736111111111107</v>
      </c>
      <c r="D124" s="46">
        <v>0.6694444444444444</v>
      </c>
      <c r="E124" s="43">
        <v>0.67013888888888884</v>
      </c>
      <c r="F124" s="49">
        <f t="shared" ref="F124:F161" si="11">C124-C123</f>
        <v>0</v>
      </c>
      <c r="G124" s="52">
        <f t="shared" si="7"/>
        <v>0</v>
      </c>
      <c r="H124" s="46">
        <f t="shared" si="8"/>
        <v>6.9444444444444198E-4</v>
      </c>
      <c r="I124" s="52">
        <f t="shared" si="9"/>
        <v>1</v>
      </c>
      <c r="J124" s="55" t="s">
        <v>42</v>
      </c>
    </row>
    <row r="125" spans="1:10" ht="15">
      <c r="A125" s="37">
        <v>4</v>
      </c>
      <c r="B125" s="40">
        <v>124</v>
      </c>
      <c r="C125" s="43">
        <v>0.67152777777777772</v>
      </c>
      <c r="D125" s="46">
        <v>0.67152777777777772</v>
      </c>
      <c r="E125" s="43">
        <v>0.67500000000000004</v>
      </c>
      <c r="F125" s="49">
        <f t="shared" si="11"/>
        <v>4.1666666666666519E-3</v>
      </c>
      <c r="G125" s="52">
        <f t="shared" si="7"/>
        <v>6</v>
      </c>
      <c r="H125" s="46">
        <f t="shared" si="8"/>
        <v>3.4722222222223209E-3</v>
      </c>
      <c r="I125" s="52">
        <f t="shared" si="9"/>
        <v>5</v>
      </c>
      <c r="J125" s="55" t="s">
        <v>43</v>
      </c>
    </row>
    <row r="126" spans="1:10" ht="15">
      <c r="A126" s="37">
        <v>4</v>
      </c>
      <c r="B126" s="40">
        <v>125</v>
      </c>
      <c r="C126" s="43">
        <v>0.67222222222222228</v>
      </c>
      <c r="D126" s="46">
        <v>0.67500000000000004</v>
      </c>
      <c r="E126" s="43">
        <v>0.67847222222222225</v>
      </c>
      <c r="F126" s="49">
        <f t="shared" si="11"/>
        <v>6.94444444444553E-4</v>
      </c>
      <c r="G126" s="52">
        <f t="shared" si="7"/>
        <v>1</v>
      </c>
      <c r="H126" s="46">
        <f t="shared" si="8"/>
        <v>3.4722222222222099E-3</v>
      </c>
      <c r="I126" s="52">
        <f t="shared" si="9"/>
        <v>5</v>
      </c>
      <c r="J126" s="55" t="s">
        <v>43</v>
      </c>
    </row>
    <row r="127" spans="1:10" ht="15">
      <c r="A127" s="37">
        <v>4</v>
      </c>
      <c r="B127" s="40">
        <v>126</v>
      </c>
      <c r="C127" s="43">
        <v>0.67361111111111116</v>
      </c>
      <c r="D127" s="46">
        <v>0.67847222222222225</v>
      </c>
      <c r="E127" s="43">
        <v>0.68472222222222223</v>
      </c>
      <c r="F127" s="49">
        <f t="shared" si="11"/>
        <v>1.388888888888884E-3</v>
      </c>
      <c r="G127" s="52">
        <f t="shared" si="7"/>
        <v>2</v>
      </c>
      <c r="H127" s="46">
        <f t="shared" si="8"/>
        <v>6.2499999999999778E-3</v>
      </c>
      <c r="I127" s="52">
        <f t="shared" si="9"/>
        <v>9</v>
      </c>
      <c r="J127" s="55" t="s">
        <v>43</v>
      </c>
    </row>
    <row r="128" spans="1:10" ht="15">
      <c r="A128" s="37">
        <v>4</v>
      </c>
      <c r="B128" s="40">
        <v>127</v>
      </c>
      <c r="C128" s="43">
        <v>0.6743055555555556</v>
      </c>
      <c r="D128" s="46">
        <v>0.6958333333333333</v>
      </c>
      <c r="E128" s="43">
        <v>0.69791666666666663</v>
      </c>
      <c r="F128" s="49">
        <f t="shared" si="11"/>
        <v>6.9444444444444198E-4</v>
      </c>
      <c r="G128" s="52">
        <f t="shared" si="7"/>
        <v>1</v>
      </c>
      <c r="H128" s="46">
        <f t="shared" si="8"/>
        <v>2.0833333333333259E-3</v>
      </c>
      <c r="I128" s="52">
        <f t="shared" si="9"/>
        <v>3</v>
      </c>
      <c r="J128" s="55" t="s">
        <v>42</v>
      </c>
    </row>
    <row r="129" spans="1:10" ht="15">
      <c r="A129" s="37">
        <v>4</v>
      </c>
      <c r="B129" s="40">
        <v>128</v>
      </c>
      <c r="C129" s="43">
        <v>0.6743055555555556</v>
      </c>
      <c r="D129" s="46">
        <v>0.68472222222222223</v>
      </c>
      <c r="E129" s="43">
        <v>0.68888888888888899</v>
      </c>
      <c r="F129" s="49">
        <f t="shared" si="11"/>
        <v>0</v>
      </c>
      <c r="G129" s="52">
        <f t="shared" si="7"/>
        <v>0</v>
      </c>
      <c r="H129" s="46">
        <f t="shared" si="8"/>
        <v>4.1666666666667629E-3</v>
      </c>
      <c r="I129" s="52">
        <f t="shared" si="9"/>
        <v>6</v>
      </c>
      <c r="J129" s="55" t="s">
        <v>43</v>
      </c>
    </row>
    <row r="130" spans="1:10" ht="15">
      <c r="A130" s="37">
        <v>4</v>
      </c>
      <c r="B130" s="40">
        <v>129</v>
      </c>
      <c r="C130" s="43">
        <v>0.6743055555555556</v>
      </c>
      <c r="D130" s="46">
        <v>0.68888888888888899</v>
      </c>
      <c r="E130" s="43">
        <v>0.69166666666666676</v>
      </c>
      <c r="F130" s="49">
        <f t="shared" si="11"/>
        <v>0</v>
      </c>
      <c r="G130" s="52">
        <f t="shared" si="7"/>
        <v>0</v>
      </c>
      <c r="H130" s="46">
        <f t="shared" si="8"/>
        <v>2.7777777777777679E-3</v>
      </c>
      <c r="I130" s="52">
        <f t="shared" si="9"/>
        <v>4</v>
      </c>
      <c r="J130" s="55" t="s">
        <v>43</v>
      </c>
    </row>
    <row r="131" spans="1:10" ht="15">
      <c r="A131" s="37">
        <v>4</v>
      </c>
      <c r="B131" s="40">
        <v>130</v>
      </c>
      <c r="C131" s="43">
        <v>0.67708333333333337</v>
      </c>
      <c r="D131" s="46">
        <v>0.69166666666666676</v>
      </c>
      <c r="E131" s="43">
        <v>0.6958333333333333</v>
      </c>
      <c r="F131" s="49">
        <f t="shared" si="11"/>
        <v>2.7777777777777679E-3</v>
      </c>
      <c r="G131" s="52">
        <f t="shared" ref="G131:G194" si="12">MINUTE(F131)</f>
        <v>4</v>
      </c>
      <c r="H131" s="46">
        <f t="shared" ref="H131:H194" si="13">E131-D131</f>
        <v>4.1666666666665408E-3</v>
      </c>
      <c r="I131" s="52">
        <f t="shared" ref="I131:I194" si="14">MINUTE(H131)</f>
        <v>6</v>
      </c>
      <c r="J131" s="55" t="s">
        <v>43</v>
      </c>
    </row>
    <row r="132" spans="1:10" ht="15">
      <c r="A132" s="37">
        <v>4</v>
      </c>
      <c r="B132" s="40">
        <v>131</v>
      </c>
      <c r="C132" s="43">
        <v>0.6791666666666667</v>
      </c>
      <c r="D132" s="46">
        <v>0.69791666666666663</v>
      </c>
      <c r="E132" s="43">
        <v>0.69861111111111107</v>
      </c>
      <c r="F132" s="49">
        <f t="shared" si="11"/>
        <v>2.0833333333333259E-3</v>
      </c>
      <c r="G132" s="52">
        <f t="shared" si="12"/>
        <v>3</v>
      </c>
      <c r="H132" s="46">
        <f t="shared" si="13"/>
        <v>6.9444444444444198E-4</v>
      </c>
      <c r="I132" s="52">
        <f t="shared" si="14"/>
        <v>1</v>
      </c>
      <c r="J132" s="55" t="s">
        <v>42</v>
      </c>
    </row>
    <row r="133" spans="1:10" ht="15">
      <c r="A133" s="37">
        <v>4</v>
      </c>
      <c r="B133" s="40">
        <v>132</v>
      </c>
      <c r="C133" s="43">
        <v>0.67986111111111114</v>
      </c>
      <c r="D133" s="46">
        <v>0.69861111111111107</v>
      </c>
      <c r="E133" s="43">
        <v>0.7006944444444444</v>
      </c>
      <c r="F133" s="49">
        <f t="shared" si="11"/>
        <v>6.9444444444444198E-4</v>
      </c>
      <c r="G133" s="52">
        <f t="shared" si="12"/>
        <v>1</v>
      </c>
      <c r="H133" s="46">
        <f t="shared" si="13"/>
        <v>2.0833333333333259E-3</v>
      </c>
      <c r="I133" s="52">
        <f t="shared" si="14"/>
        <v>3</v>
      </c>
      <c r="J133" s="55" t="s">
        <v>42</v>
      </c>
    </row>
    <row r="134" spans="1:10" ht="15">
      <c r="A134" s="37">
        <v>4</v>
      </c>
      <c r="B134" s="40">
        <v>133</v>
      </c>
      <c r="C134" s="43">
        <v>0.67986111111111114</v>
      </c>
      <c r="D134" s="46">
        <v>0.7006944444444444</v>
      </c>
      <c r="E134" s="43">
        <v>0.70208333333333328</v>
      </c>
      <c r="F134" s="49">
        <f t="shared" si="11"/>
        <v>0</v>
      </c>
      <c r="G134" s="52">
        <f t="shared" si="12"/>
        <v>0</v>
      </c>
      <c r="H134" s="46">
        <f t="shared" si="13"/>
        <v>1.388888888888884E-3</v>
      </c>
      <c r="I134" s="52">
        <f t="shared" si="14"/>
        <v>2</v>
      </c>
      <c r="J134" s="55" t="s">
        <v>42</v>
      </c>
    </row>
    <row r="135" spans="1:10" ht="15">
      <c r="A135" s="37">
        <v>4</v>
      </c>
      <c r="B135" s="40">
        <v>134</v>
      </c>
      <c r="C135" s="43">
        <v>0.68125000000000002</v>
      </c>
      <c r="D135" s="46">
        <v>0.70208333333333328</v>
      </c>
      <c r="E135" s="43">
        <v>0.70486111111111116</v>
      </c>
      <c r="F135" s="49">
        <f t="shared" si="11"/>
        <v>1.388888888888884E-3</v>
      </c>
      <c r="G135" s="52">
        <f t="shared" si="12"/>
        <v>2</v>
      </c>
      <c r="H135" s="46">
        <f t="shared" si="13"/>
        <v>2.7777777777778789E-3</v>
      </c>
      <c r="I135" s="52">
        <f t="shared" si="14"/>
        <v>4</v>
      </c>
      <c r="J135" s="55" t="s">
        <v>42</v>
      </c>
    </row>
    <row r="136" spans="1:10" ht="15">
      <c r="A136" s="37">
        <v>4</v>
      </c>
      <c r="B136" s="40">
        <v>135</v>
      </c>
      <c r="C136" s="43">
        <v>0.68611111111111112</v>
      </c>
      <c r="D136" s="46">
        <v>0.70486111111111116</v>
      </c>
      <c r="E136" s="43">
        <v>0.7055555555555556</v>
      </c>
      <c r="F136" s="49">
        <f t="shared" si="11"/>
        <v>4.8611111111110938E-3</v>
      </c>
      <c r="G136" s="52">
        <f t="shared" si="12"/>
        <v>7</v>
      </c>
      <c r="H136" s="46">
        <f t="shared" si="13"/>
        <v>6.9444444444444198E-4</v>
      </c>
      <c r="I136" s="52">
        <f t="shared" si="14"/>
        <v>1</v>
      </c>
      <c r="J136" s="55" t="s">
        <v>42</v>
      </c>
    </row>
    <row r="137" spans="1:10" ht="15">
      <c r="A137" s="37">
        <v>4</v>
      </c>
      <c r="B137" s="40">
        <v>136</v>
      </c>
      <c r="C137" s="43">
        <v>0.68680555555555556</v>
      </c>
      <c r="D137" s="46">
        <v>0.7055555555555556</v>
      </c>
      <c r="E137" s="43">
        <v>0.70625000000000004</v>
      </c>
      <c r="F137" s="49">
        <f t="shared" si="11"/>
        <v>6.9444444444444198E-4</v>
      </c>
      <c r="G137" s="52">
        <f t="shared" si="12"/>
        <v>1</v>
      </c>
      <c r="H137" s="46">
        <f t="shared" si="13"/>
        <v>6.9444444444444198E-4</v>
      </c>
      <c r="I137" s="52">
        <f t="shared" si="14"/>
        <v>1</v>
      </c>
      <c r="J137" s="55" t="s">
        <v>42</v>
      </c>
    </row>
    <row r="138" spans="1:10" ht="15">
      <c r="A138" s="37">
        <v>4</v>
      </c>
      <c r="B138" s="40">
        <v>137</v>
      </c>
      <c r="C138" s="43">
        <v>0.68958333333333333</v>
      </c>
      <c r="D138" s="46">
        <v>0.70625000000000004</v>
      </c>
      <c r="E138" s="43">
        <v>0.70694444444444449</v>
      </c>
      <c r="F138" s="49">
        <f t="shared" si="11"/>
        <v>2.7777777777777679E-3</v>
      </c>
      <c r="G138" s="52">
        <f t="shared" si="12"/>
        <v>4</v>
      </c>
      <c r="H138" s="46">
        <f t="shared" si="13"/>
        <v>6.9444444444444198E-4</v>
      </c>
      <c r="I138" s="52">
        <f t="shared" si="14"/>
        <v>1</v>
      </c>
      <c r="J138" s="55" t="s">
        <v>42</v>
      </c>
    </row>
    <row r="139" spans="1:10" ht="15">
      <c r="A139" s="37">
        <v>4</v>
      </c>
      <c r="B139" s="40">
        <v>138</v>
      </c>
      <c r="C139" s="43">
        <v>0.69027777777777777</v>
      </c>
      <c r="D139" s="46">
        <v>0.70694444444444449</v>
      </c>
      <c r="E139" s="43">
        <v>0.70833333333333337</v>
      </c>
      <c r="F139" s="49">
        <f t="shared" si="11"/>
        <v>6.9444444444444198E-4</v>
      </c>
      <c r="G139" s="52">
        <f t="shared" si="12"/>
        <v>1</v>
      </c>
      <c r="H139" s="46">
        <f t="shared" si="13"/>
        <v>1.388888888888884E-3</v>
      </c>
      <c r="I139" s="52">
        <f t="shared" si="14"/>
        <v>2</v>
      </c>
      <c r="J139" s="55" t="s">
        <v>42</v>
      </c>
    </row>
    <row r="140" spans="1:10" ht="15">
      <c r="A140" s="37">
        <v>4</v>
      </c>
      <c r="B140" s="40">
        <v>139</v>
      </c>
      <c r="C140" s="43">
        <v>0.69097222222222221</v>
      </c>
      <c r="D140" s="46">
        <v>0.70833333333333337</v>
      </c>
      <c r="E140" s="43">
        <v>0.70902777777777781</v>
      </c>
      <c r="F140" s="49">
        <f t="shared" si="11"/>
        <v>6.9444444444444198E-4</v>
      </c>
      <c r="G140" s="52">
        <f t="shared" si="12"/>
        <v>1</v>
      </c>
      <c r="H140" s="46">
        <f t="shared" si="13"/>
        <v>6.9444444444444198E-4</v>
      </c>
      <c r="I140" s="52">
        <f t="shared" si="14"/>
        <v>1</v>
      </c>
      <c r="J140" s="55" t="s">
        <v>42</v>
      </c>
    </row>
    <row r="141" spans="1:10" ht="15">
      <c r="A141" s="37">
        <v>4</v>
      </c>
      <c r="B141" s="40">
        <v>140</v>
      </c>
      <c r="C141" s="43">
        <v>0.69513888888888886</v>
      </c>
      <c r="D141" s="46">
        <v>0.71666666666666667</v>
      </c>
      <c r="E141" s="43">
        <v>0.72083333333333333</v>
      </c>
      <c r="F141" s="49">
        <f t="shared" si="11"/>
        <v>4.1666666666666519E-3</v>
      </c>
      <c r="G141" s="52">
        <f t="shared" si="12"/>
        <v>6</v>
      </c>
      <c r="H141" s="46">
        <f t="shared" si="13"/>
        <v>4.1666666666666519E-3</v>
      </c>
      <c r="I141" s="52">
        <f t="shared" si="14"/>
        <v>6</v>
      </c>
      <c r="J141" s="55" t="s">
        <v>42</v>
      </c>
    </row>
    <row r="142" spans="1:10" ht="15">
      <c r="A142" s="37">
        <v>4</v>
      </c>
      <c r="B142" s="40">
        <v>141</v>
      </c>
      <c r="C142" s="43">
        <v>0.69791666666666663</v>
      </c>
      <c r="D142" s="46">
        <v>0.72083333333333333</v>
      </c>
      <c r="E142" s="43">
        <v>0.7270833333333333</v>
      </c>
      <c r="F142" s="49">
        <f t="shared" si="11"/>
        <v>2.7777777777777679E-3</v>
      </c>
      <c r="G142" s="52">
        <f t="shared" si="12"/>
        <v>4</v>
      </c>
      <c r="H142" s="46">
        <f t="shared" si="13"/>
        <v>6.2499999999999778E-3</v>
      </c>
      <c r="I142" s="52">
        <f t="shared" si="14"/>
        <v>9</v>
      </c>
      <c r="J142" s="55" t="s">
        <v>42</v>
      </c>
    </row>
    <row r="143" spans="1:10" ht="15">
      <c r="A143" s="37">
        <v>4</v>
      </c>
      <c r="B143" s="40">
        <v>142</v>
      </c>
      <c r="C143" s="43">
        <v>0.69930555555555551</v>
      </c>
      <c r="D143" s="46">
        <v>0.7270833333333333</v>
      </c>
      <c r="E143" s="43">
        <v>0.72986111111111107</v>
      </c>
      <c r="F143" s="49">
        <f t="shared" si="11"/>
        <v>1.388888888888884E-3</v>
      </c>
      <c r="G143" s="52">
        <f t="shared" si="12"/>
        <v>2</v>
      </c>
      <c r="H143" s="46">
        <f t="shared" si="13"/>
        <v>2.7777777777777679E-3</v>
      </c>
      <c r="I143" s="52">
        <f t="shared" si="14"/>
        <v>4</v>
      </c>
      <c r="J143" s="55" t="s">
        <v>42</v>
      </c>
    </row>
    <row r="144" spans="1:10" ht="15">
      <c r="A144" s="37">
        <v>4</v>
      </c>
      <c r="B144" s="40">
        <v>143</v>
      </c>
      <c r="C144" s="43">
        <v>0.70277777777777772</v>
      </c>
      <c r="D144" s="46">
        <v>0.72986111111111107</v>
      </c>
      <c r="E144" s="43">
        <v>0.73125000000000007</v>
      </c>
      <c r="F144" s="49">
        <f t="shared" si="11"/>
        <v>3.4722222222222099E-3</v>
      </c>
      <c r="G144" s="52">
        <f t="shared" si="12"/>
        <v>5</v>
      </c>
      <c r="H144" s="46">
        <f t="shared" si="13"/>
        <v>1.388888888888995E-3</v>
      </c>
      <c r="I144" s="52">
        <f t="shared" si="14"/>
        <v>2</v>
      </c>
      <c r="J144" s="55" t="s">
        <v>42</v>
      </c>
    </row>
    <row r="145" spans="1:10" ht="15">
      <c r="A145" s="37">
        <v>4</v>
      </c>
      <c r="B145" s="40">
        <v>144</v>
      </c>
      <c r="C145" s="43">
        <v>0.70277777777777772</v>
      </c>
      <c r="D145" s="46">
        <v>0.73125000000000007</v>
      </c>
      <c r="E145" s="43">
        <v>0.7319444444444444</v>
      </c>
      <c r="F145" s="49">
        <f t="shared" si="11"/>
        <v>0</v>
      </c>
      <c r="G145" s="52">
        <f t="shared" si="12"/>
        <v>0</v>
      </c>
      <c r="H145" s="46">
        <f t="shared" si="13"/>
        <v>6.9444444444433095E-4</v>
      </c>
      <c r="I145" s="52">
        <f t="shared" si="14"/>
        <v>1</v>
      </c>
      <c r="J145" s="55" t="s">
        <v>42</v>
      </c>
    </row>
    <row r="146" spans="1:10" ht="15">
      <c r="A146" s="37">
        <v>4</v>
      </c>
      <c r="B146" s="40">
        <v>145</v>
      </c>
      <c r="C146" s="43">
        <v>0.70902777777777781</v>
      </c>
      <c r="D146" s="46">
        <v>0.7090277777777777</v>
      </c>
      <c r="E146" s="43">
        <v>0.71666666666666667</v>
      </c>
      <c r="F146" s="49">
        <f t="shared" si="11"/>
        <v>6.2500000000000888E-3</v>
      </c>
      <c r="G146" s="52">
        <f t="shared" si="12"/>
        <v>9</v>
      </c>
      <c r="H146" s="46">
        <f t="shared" si="13"/>
        <v>7.6388888888889728E-3</v>
      </c>
      <c r="I146" s="52">
        <f t="shared" si="14"/>
        <v>11</v>
      </c>
      <c r="J146" s="55" t="s">
        <v>43</v>
      </c>
    </row>
    <row r="147" spans="1:10" ht="15">
      <c r="A147" s="37">
        <v>4</v>
      </c>
      <c r="B147" s="40">
        <v>146</v>
      </c>
      <c r="C147" s="43">
        <v>0.70902777777777781</v>
      </c>
      <c r="D147" s="46">
        <v>0.7319444444444444</v>
      </c>
      <c r="E147" s="43">
        <v>0.73263888888888884</v>
      </c>
      <c r="F147" s="49">
        <f t="shared" si="11"/>
        <v>0</v>
      </c>
      <c r="G147" s="52">
        <f t="shared" si="12"/>
        <v>0</v>
      </c>
      <c r="H147" s="46">
        <f t="shared" si="13"/>
        <v>6.9444444444444198E-4</v>
      </c>
      <c r="I147" s="52">
        <f t="shared" si="14"/>
        <v>1</v>
      </c>
      <c r="J147" s="55" t="s">
        <v>42</v>
      </c>
    </row>
    <row r="148" spans="1:10" ht="15">
      <c r="A148" s="37">
        <v>4</v>
      </c>
      <c r="B148" s="40">
        <v>147</v>
      </c>
      <c r="C148" s="43">
        <v>0.71736111111111112</v>
      </c>
      <c r="D148" s="46">
        <v>0.73263888888888884</v>
      </c>
      <c r="E148" s="43">
        <v>0.73333333333333328</v>
      </c>
      <c r="F148" s="49">
        <f t="shared" si="11"/>
        <v>8.3333333333333037E-3</v>
      </c>
      <c r="G148" s="52">
        <f t="shared" si="12"/>
        <v>12</v>
      </c>
      <c r="H148" s="46">
        <f t="shared" si="13"/>
        <v>6.9444444444444198E-4</v>
      </c>
      <c r="I148" s="52">
        <f t="shared" si="14"/>
        <v>1</v>
      </c>
      <c r="J148" s="55" t="s">
        <v>42</v>
      </c>
    </row>
    <row r="149" spans="1:10" ht="15">
      <c r="A149" s="37">
        <v>4</v>
      </c>
      <c r="B149" s="40">
        <v>148</v>
      </c>
      <c r="C149" s="43">
        <v>0.72291666666666665</v>
      </c>
      <c r="D149" s="46">
        <v>0.73333333333333328</v>
      </c>
      <c r="E149" s="43">
        <v>0.73611111111111116</v>
      </c>
      <c r="F149" s="49">
        <f t="shared" si="11"/>
        <v>5.5555555555555358E-3</v>
      </c>
      <c r="G149" s="52">
        <f t="shared" si="12"/>
        <v>8</v>
      </c>
      <c r="H149" s="46">
        <f t="shared" si="13"/>
        <v>2.7777777777778789E-3</v>
      </c>
      <c r="I149" s="52">
        <f t="shared" si="14"/>
        <v>4</v>
      </c>
      <c r="J149" s="55" t="s">
        <v>42</v>
      </c>
    </row>
    <row r="150" spans="1:10" ht="15">
      <c r="A150" s="37">
        <v>4</v>
      </c>
      <c r="B150" s="40">
        <v>149</v>
      </c>
      <c r="C150" s="43">
        <v>0.72638888888888886</v>
      </c>
      <c r="D150" s="46">
        <v>0.73611111111111116</v>
      </c>
      <c r="E150" s="43">
        <v>0.73750000000000004</v>
      </c>
      <c r="F150" s="49">
        <f t="shared" si="11"/>
        <v>3.4722222222222099E-3</v>
      </c>
      <c r="G150" s="52">
        <f t="shared" si="12"/>
        <v>5</v>
      </c>
      <c r="H150" s="46">
        <f t="shared" si="13"/>
        <v>1.388888888888884E-3</v>
      </c>
      <c r="I150" s="52">
        <f t="shared" si="14"/>
        <v>2</v>
      </c>
      <c r="J150" s="55" t="s">
        <v>42</v>
      </c>
    </row>
    <row r="151" spans="1:10" ht="15">
      <c r="A151" s="37">
        <v>4</v>
      </c>
      <c r="B151" s="40">
        <v>150</v>
      </c>
      <c r="C151" s="43">
        <v>0.72638888888888886</v>
      </c>
      <c r="D151" s="46">
        <v>0.73750000000000004</v>
      </c>
      <c r="E151" s="43">
        <v>0.74791666666666667</v>
      </c>
      <c r="F151" s="49">
        <f t="shared" si="11"/>
        <v>0</v>
      </c>
      <c r="G151" s="52">
        <f t="shared" si="12"/>
        <v>0</v>
      </c>
      <c r="H151" s="46">
        <f t="shared" si="13"/>
        <v>1.041666666666663E-2</v>
      </c>
      <c r="I151" s="52">
        <f t="shared" si="14"/>
        <v>15</v>
      </c>
      <c r="J151" s="55" t="s">
        <v>42</v>
      </c>
    </row>
    <row r="152" spans="1:10" ht="15">
      <c r="A152" s="37">
        <v>4</v>
      </c>
      <c r="B152" s="40">
        <v>151</v>
      </c>
      <c r="C152" s="43">
        <v>0.7270833333333333</v>
      </c>
      <c r="D152" s="46">
        <v>0.7631944444444444</v>
      </c>
      <c r="E152" s="43">
        <v>0.76458333333333339</v>
      </c>
      <c r="F152" s="49">
        <f t="shared" si="11"/>
        <v>6.9444444444444198E-4</v>
      </c>
      <c r="G152" s="52">
        <f t="shared" si="12"/>
        <v>1</v>
      </c>
      <c r="H152" s="46">
        <f t="shared" si="13"/>
        <v>1.388888888888995E-3</v>
      </c>
      <c r="I152" s="52">
        <f t="shared" si="14"/>
        <v>2</v>
      </c>
      <c r="J152" s="55" t="s">
        <v>42</v>
      </c>
    </row>
    <row r="153" spans="1:10" ht="15">
      <c r="A153" s="37">
        <v>4</v>
      </c>
      <c r="B153" s="40">
        <v>152</v>
      </c>
      <c r="C153" s="43">
        <v>0.7270833333333333</v>
      </c>
      <c r="D153" s="46">
        <v>0.76458333333333339</v>
      </c>
      <c r="E153" s="43">
        <v>0.77013888888888893</v>
      </c>
      <c r="F153" s="49">
        <f t="shared" si="11"/>
        <v>0</v>
      </c>
      <c r="G153" s="52">
        <f t="shared" si="12"/>
        <v>0</v>
      </c>
      <c r="H153" s="46">
        <f t="shared" si="13"/>
        <v>5.5555555555555358E-3</v>
      </c>
      <c r="I153" s="52">
        <f t="shared" si="14"/>
        <v>8</v>
      </c>
      <c r="J153" s="55" t="s">
        <v>42</v>
      </c>
    </row>
    <row r="154" spans="1:10" ht="15">
      <c r="A154" s="37">
        <v>4</v>
      </c>
      <c r="B154" s="40">
        <v>153</v>
      </c>
      <c r="C154" s="43">
        <v>0.72916666666666663</v>
      </c>
      <c r="D154" s="46">
        <v>0.77013888888888893</v>
      </c>
      <c r="E154" s="43">
        <v>0.77083333333333337</v>
      </c>
      <c r="F154" s="49">
        <f t="shared" si="11"/>
        <v>2.0833333333333259E-3</v>
      </c>
      <c r="G154" s="52">
        <f t="shared" si="12"/>
        <v>3</v>
      </c>
      <c r="H154" s="46">
        <f t="shared" si="13"/>
        <v>6.9444444444444198E-4</v>
      </c>
      <c r="I154" s="52">
        <f t="shared" si="14"/>
        <v>1</v>
      </c>
      <c r="J154" s="55" t="s">
        <v>42</v>
      </c>
    </row>
    <row r="155" spans="1:10" ht="15">
      <c r="A155" s="37">
        <v>4</v>
      </c>
      <c r="B155" s="40">
        <v>154</v>
      </c>
      <c r="C155" s="43">
        <v>0.73333333333333328</v>
      </c>
      <c r="D155" s="46">
        <v>0.77083333333333337</v>
      </c>
      <c r="E155" s="43">
        <v>0.77361111111111114</v>
      </c>
      <c r="F155" s="49">
        <f t="shared" si="11"/>
        <v>4.1666666666666519E-3</v>
      </c>
      <c r="G155" s="52">
        <f t="shared" si="12"/>
        <v>6</v>
      </c>
      <c r="H155" s="46">
        <f t="shared" si="13"/>
        <v>2.7777777777777679E-3</v>
      </c>
      <c r="I155" s="52">
        <f t="shared" si="14"/>
        <v>4</v>
      </c>
      <c r="J155" s="55" t="s">
        <v>42</v>
      </c>
    </row>
    <row r="156" spans="1:10" ht="15">
      <c r="A156" s="37">
        <v>4</v>
      </c>
      <c r="B156" s="40">
        <v>155</v>
      </c>
      <c r="C156" s="43">
        <v>0.73333333333333328</v>
      </c>
      <c r="D156" s="46">
        <v>0.77361111111111114</v>
      </c>
      <c r="E156" s="43">
        <v>0.77500000000000002</v>
      </c>
      <c r="F156" s="49">
        <f t="shared" si="11"/>
        <v>0</v>
      </c>
      <c r="G156" s="52">
        <f t="shared" si="12"/>
        <v>0</v>
      </c>
      <c r="H156" s="46">
        <f t="shared" si="13"/>
        <v>1.388888888888884E-3</v>
      </c>
      <c r="I156" s="52">
        <f t="shared" si="14"/>
        <v>2</v>
      </c>
      <c r="J156" s="55" t="s">
        <v>42</v>
      </c>
    </row>
    <row r="157" spans="1:10" ht="15">
      <c r="A157" s="37">
        <v>4</v>
      </c>
      <c r="B157" s="40">
        <v>156</v>
      </c>
      <c r="C157" s="43">
        <v>0.73611111111111116</v>
      </c>
      <c r="D157" s="46">
        <v>0.77500000000000002</v>
      </c>
      <c r="E157" s="43">
        <v>0.77569444444444446</v>
      </c>
      <c r="F157" s="49">
        <f t="shared" si="11"/>
        <v>2.7777777777778789E-3</v>
      </c>
      <c r="G157" s="52">
        <f t="shared" si="12"/>
        <v>4</v>
      </c>
      <c r="H157" s="46">
        <f t="shared" si="13"/>
        <v>6.9444444444444198E-4</v>
      </c>
      <c r="I157" s="52">
        <f t="shared" si="14"/>
        <v>1</v>
      </c>
      <c r="J157" s="55" t="s">
        <v>42</v>
      </c>
    </row>
    <row r="158" spans="1:10" ht="15">
      <c r="A158" s="37">
        <v>4</v>
      </c>
      <c r="B158" s="40">
        <v>157</v>
      </c>
      <c r="C158" s="43">
        <v>0.73819444444444449</v>
      </c>
      <c r="D158" s="46">
        <v>0.74791666666666667</v>
      </c>
      <c r="E158" s="43">
        <v>0.75347222222222221</v>
      </c>
      <c r="F158" s="49">
        <f t="shared" si="11"/>
        <v>2.0833333333333259E-3</v>
      </c>
      <c r="G158" s="52">
        <f t="shared" si="12"/>
        <v>3</v>
      </c>
      <c r="H158" s="46">
        <f t="shared" si="13"/>
        <v>5.5555555555555358E-3</v>
      </c>
      <c r="I158" s="52">
        <f t="shared" si="14"/>
        <v>8</v>
      </c>
      <c r="J158" s="55" t="s">
        <v>43</v>
      </c>
    </row>
    <row r="159" spans="1:10" ht="15">
      <c r="A159" s="37">
        <v>4</v>
      </c>
      <c r="B159" s="40">
        <v>158</v>
      </c>
      <c r="C159" s="43">
        <v>0.74027777777777781</v>
      </c>
      <c r="D159" s="46">
        <v>0.77569444444444446</v>
      </c>
      <c r="E159" s="43">
        <v>0.77847222222222223</v>
      </c>
      <c r="F159" s="49">
        <f t="shared" si="11"/>
        <v>2.0833333333333259E-3</v>
      </c>
      <c r="G159" s="52">
        <f t="shared" si="12"/>
        <v>3</v>
      </c>
      <c r="H159" s="46">
        <f t="shared" si="13"/>
        <v>2.7777777777777679E-3</v>
      </c>
      <c r="I159" s="52">
        <f t="shared" si="14"/>
        <v>4</v>
      </c>
      <c r="J159" s="55" t="s">
        <v>42</v>
      </c>
    </row>
    <row r="160" spans="1:10" ht="15">
      <c r="A160" s="37">
        <v>4</v>
      </c>
      <c r="B160" s="40">
        <v>159</v>
      </c>
      <c r="C160" s="43">
        <v>0.74375000000000002</v>
      </c>
      <c r="D160" s="46">
        <v>0.77847222222222223</v>
      </c>
      <c r="E160" s="43">
        <v>0.77986111111111101</v>
      </c>
      <c r="F160" s="49">
        <f t="shared" si="11"/>
        <v>3.4722222222222099E-3</v>
      </c>
      <c r="G160" s="52">
        <f t="shared" si="12"/>
        <v>5</v>
      </c>
      <c r="H160" s="46">
        <f t="shared" si="13"/>
        <v>1.3888888888887729E-3</v>
      </c>
      <c r="I160" s="52">
        <f t="shared" si="14"/>
        <v>2</v>
      </c>
      <c r="J160" s="55" t="s">
        <v>42</v>
      </c>
    </row>
    <row r="161" spans="1:10" ht="15">
      <c r="A161" s="38">
        <v>4</v>
      </c>
      <c r="B161" s="41">
        <v>160</v>
      </c>
      <c r="C161" s="44">
        <v>0.74930555555555556</v>
      </c>
      <c r="D161" s="47">
        <v>0.75347222222222221</v>
      </c>
      <c r="E161" s="44">
        <v>0.7631944444444444</v>
      </c>
      <c r="F161" s="50">
        <f t="shared" si="11"/>
        <v>5.5555555555555358E-3</v>
      </c>
      <c r="G161" s="53">
        <f t="shared" si="12"/>
        <v>8</v>
      </c>
      <c r="H161" s="47">
        <f t="shared" si="13"/>
        <v>9.7222222222221877E-3</v>
      </c>
      <c r="I161" s="53">
        <f t="shared" si="14"/>
        <v>14</v>
      </c>
      <c r="J161" s="56" t="s">
        <v>43</v>
      </c>
    </row>
    <row r="162" spans="1:10" ht="15">
      <c r="A162" s="37">
        <v>5</v>
      </c>
      <c r="B162" s="40">
        <v>161</v>
      </c>
      <c r="C162" s="43">
        <v>0.66666666666666663</v>
      </c>
      <c r="D162" s="46">
        <v>0.66666666666666663</v>
      </c>
      <c r="E162" s="43">
        <v>0.67569444444444449</v>
      </c>
      <c r="F162" s="49">
        <v>0</v>
      </c>
      <c r="G162" s="52">
        <f t="shared" si="12"/>
        <v>0</v>
      </c>
      <c r="H162" s="46">
        <f t="shared" si="13"/>
        <v>9.0277777777778567E-3</v>
      </c>
      <c r="I162" s="52">
        <f t="shared" si="14"/>
        <v>13</v>
      </c>
      <c r="J162" s="55" t="s">
        <v>43</v>
      </c>
    </row>
    <row r="163" spans="1:10" ht="15">
      <c r="A163" s="37">
        <v>5</v>
      </c>
      <c r="B163" s="40">
        <v>162</v>
      </c>
      <c r="C163" s="43">
        <v>0.66805555555555551</v>
      </c>
      <c r="D163" s="46">
        <v>0.68055555555555547</v>
      </c>
      <c r="E163" s="43">
        <v>0.68333333333333324</v>
      </c>
      <c r="F163" s="49">
        <f>C163-C162</f>
        <v>1.388888888888884E-3</v>
      </c>
      <c r="G163" s="52">
        <f t="shared" si="12"/>
        <v>2</v>
      </c>
      <c r="H163" s="46">
        <f t="shared" si="13"/>
        <v>2.7777777777777679E-3</v>
      </c>
      <c r="I163" s="52">
        <f t="shared" si="14"/>
        <v>4</v>
      </c>
      <c r="J163" s="55" t="s">
        <v>42</v>
      </c>
    </row>
    <row r="164" spans="1:10" ht="15">
      <c r="A164" s="37">
        <v>5</v>
      </c>
      <c r="B164" s="40">
        <v>163</v>
      </c>
      <c r="C164" s="43">
        <v>0.67291666666666672</v>
      </c>
      <c r="D164" s="46">
        <v>0.67569444444444438</v>
      </c>
      <c r="E164" s="43">
        <v>0.68055555555555547</v>
      </c>
      <c r="F164" s="49">
        <f t="shared" ref="F164:F201" si="15">C164-C163</f>
        <v>4.8611111111112049E-3</v>
      </c>
      <c r="G164" s="52">
        <f t="shared" si="12"/>
        <v>7</v>
      </c>
      <c r="H164" s="46">
        <f t="shared" si="13"/>
        <v>4.8611111111110938E-3</v>
      </c>
      <c r="I164" s="52">
        <f t="shared" si="14"/>
        <v>7</v>
      </c>
      <c r="J164" s="55" t="s">
        <v>43</v>
      </c>
    </row>
    <row r="165" spans="1:10" ht="15">
      <c r="A165" s="37">
        <v>5</v>
      </c>
      <c r="B165" s="40">
        <v>164</v>
      </c>
      <c r="C165" s="43">
        <v>0.67847222222222225</v>
      </c>
      <c r="D165" s="46">
        <v>0.6875</v>
      </c>
      <c r="E165" s="43">
        <v>0.68819444444444444</v>
      </c>
      <c r="F165" s="49">
        <f t="shared" si="15"/>
        <v>5.5555555555555358E-3</v>
      </c>
      <c r="G165" s="52">
        <f t="shared" si="12"/>
        <v>8</v>
      </c>
      <c r="H165" s="46">
        <f t="shared" si="13"/>
        <v>6.9444444444444198E-4</v>
      </c>
      <c r="I165" s="52">
        <f t="shared" si="14"/>
        <v>1</v>
      </c>
      <c r="J165" s="55" t="s">
        <v>42</v>
      </c>
    </row>
    <row r="166" spans="1:10" ht="15">
      <c r="A166" s="37">
        <v>5</v>
      </c>
      <c r="B166" s="40">
        <v>165</v>
      </c>
      <c r="C166" s="43">
        <v>0.68194444444444446</v>
      </c>
      <c r="D166" s="46">
        <v>0.68819444444444444</v>
      </c>
      <c r="E166" s="43">
        <v>0.69166666666666665</v>
      </c>
      <c r="F166" s="49">
        <f t="shared" si="15"/>
        <v>3.4722222222222099E-3</v>
      </c>
      <c r="G166" s="52">
        <f t="shared" si="12"/>
        <v>5</v>
      </c>
      <c r="H166" s="46">
        <f t="shared" si="13"/>
        <v>3.4722222222222099E-3</v>
      </c>
      <c r="I166" s="52">
        <f t="shared" si="14"/>
        <v>5</v>
      </c>
      <c r="J166" s="55" t="s">
        <v>42</v>
      </c>
    </row>
    <row r="167" spans="1:10" ht="15">
      <c r="A167" s="37">
        <v>5</v>
      </c>
      <c r="B167" s="40">
        <v>166</v>
      </c>
      <c r="C167" s="43">
        <v>0.68194444444444446</v>
      </c>
      <c r="D167" s="46">
        <v>0.68333333333333335</v>
      </c>
      <c r="E167" s="43">
        <v>0.6875</v>
      </c>
      <c r="F167" s="49">
        <f t="shared" si="15"/>
        <v>0</v>
      </c>
      <c r="G167" s="52">
        <f t="shared" si="12"/>
        <v>0</v>
      </c>
      <c r="H167" s="46">
        <f t="shared" si="13"/>
        <v>4.1666666666666519E-3</v>
      </c>
      <c r="I167" s="52">
        <f t="shared" si="14"/>
        <v>6</v>
      </c>
      <c r="J167" s="55" t="s">
        <v>43</v>
      </c>
    </row>
    <row r="168" spans="1:10" ht="15">
      <c r="A168" s="37">
        <v>5</v>
      </c>
      <c r="B168" s="40">
        <v>167</v>
      </c>
      <c r="C168" s="43">
        <v>0.68263888888888891</v>
      </c>
      <c r="D168" s="46">
        <v>0.69166666666666665</v>
      </c>
      <c r="E168" s="43">
        <v>0.69374999999999998</v>
      </c>
      <c r="F168" s="49">
        <f t="shared" si="15"/>
        <v>6.9444444444444198E-4</v>
      </c>
      <c r="G168" s="52">
        <f t="shared" si="12"/>
        <v>1</v>
      </c>
      <c r="H168" s="46">
        <f t="shared" si="13"/>
        <v>2.0833333333333259E-3</v>
      </c>
      <c r="I168" s="52">
        <f t="shared" si="14"/>
        <v>3</v>
      </c>
      <c r="J168" s="55" t="s">
        <v>42</v>
      </c>
    </row>
    <row r="169" spans="1:10" ht="15">
      <c r="A169" s="37">
        <v>5</v>
      </c>
      <c r="B169" s="40">
        <v>168</v>
      </c>
      <c r="C169" s="43">
        <v>0.68333333333333335</v>
      </c>
      <c r="D169" s="46">
        <v>0.69374999999999998</v>
      </c>
      <c r="E169" s="43">
        <v>0.69513888888888886</v>
      </c>
      <c r="F169" s="49">
        <f t="shared" si="15"/>
        <v>6.9444444444444198E-4</v>
      </c>
      <c r="G169" s="52">
        <f t="shared" si="12"/>
        <v>1</v>
      </c>
      <c r="H169" s="46">
        <f t="shared" si="13"/>
        <v>1.388888888888884E-3</v>
      </c>
      <c r="I169" s="52">
        <f t="shared" si="14"/>
        <v>2</v>
      </c>
      <c r="J169" s="55" t="s">
        <v>42</v>
      </c>
    </row>
    <row r="170" spans="1:10" ht="15">
      <c r="A170" s="37">
        <v>5</v>
      </c>
      <c r="B170" s="40">
        <v>169</v>
      </c>
      <c r="C170" s="43">
        <v>0.69652777777777775</v>
      </c>
      <c r="D170" s="46">
        <v>0.7006944444444444</v>
      </c>
      <c r="E170" s="43">
        <v>0.70138888888888884</v>
      </c>
      <c r="F170" s="49">
        <f t="shared" si="15"/>
        <v>1.3194444444444398E-2</v>
      </c>
      <c r="G170" s="52">
        <f t="shared" si="12"/>
        <v>19</v>
      </c>
      <c r="H170" s="46">
        <f t="shared" si="13"/>
        <v>6.9444444444444198E-4</v>
      </c>
      <c r="I170" s="52">
        <f t="shared" si="14"/>
        <v>1</v>
      </c>
      <c r="J170" s="55" t="s">
        <v>42</v>
      </c>
    </row>
    <row r="171" spans="1:10" ht="15">
      <c r="A171" s="37">
        <v>5</v>
      </c>
      <c r="B171" s="40">
        <v>170</v>
      </c>
      <c r="C171" s="43">
        <v>0.69652777777777775</v>
      </c>
      <c r="D171" s="46">
        <v>0.69652777777777775</v>
      </c>
      <c r="E171" s="43">
        <v>0.7006944444444444</v>
      </c>
      <c r="F171" s="49">
        <f t="shared" si="15"/>
        <v>0</v>
      </c>
      <c r="G171" s="52">
        <f t="shared" si="12"/>
        <v>0</v>
      </c>
      <c r="H171" s="46">
        <f t="shared" si="13"/>
        <v>4.1666666666666519E-3</v>
      </c>
      <c r="I171" s="52">
        <f t="shared" si="14"/>
        <v>6</v>
      </c>
      <c r="J171" s="55" t="s">
        <v>43</v>
      </c>
    </row>
    <row r="172" spans="1:10" ht="15">
      <c r="A172" s="37">
        <v>5</v>
      </c>
      <c r="B172" s="40">
        <v>171</v>
      </c>
      <c r="C172" s="43">
        <v>0.71666666666666667</v>
      </c>
      <c r="D172" s="46">
        <v>0.71666666666666667</v>
      </c>
      <c r="E172" s="43">
        <v>0.71875</v>
      </c>
      <c r="F172" s="49">
        <f t="shared" si="15"/>
        <v>2.0138888888888928E-2</v>
      </c>
      <c r="G172" s="52">
        <f t="shared" si="12"/>
        <v>29</v>
      </c>
      <c r="H172" s="46">
        <f t="shared" si="13"/>
        <v>2.0833333333333259E-3</v>
      </c>
      <c r="I172" s="52">
        <f t="shared" si="14"/>
        <v>3</v>
      </c>
      <c r="J172" s="55" t="s">
        <v>42</v>
      </c>
    </row>
    <row r="173" spans="1:10" ht="15">
      <c r="A173" s="37">
        <v>5</v>
      </c>
      <c r="B173" s="40">
        <v>172</v>
      </c>
      <c r="C173" s="43">
        <v>0.72083333333333333</v>
      </c>
      <c r="D173" s="46">
        <v>0.72083333333333333</v>
      </c>
      <c r="E173" s="43">
        <v>0.72222222222222221</v>
      </c>
      <c r="F173" s="49">
        <f t="shared" si="15"/>
        <v>4.1666666666666519E-3</v>
      </c>
      <c r="G173" s="52">
        <f t="shared" si="12"/>
        <v>6</v>
      </c>
      <c r="H173" s="46">
        <f t="shared" si="13"/>
        <v>1.388888888888884E-3</v>
      </c>
      <c r="I173" s="52">
        <f t="shared" si="14"/>
        <v>2</v>
      </c>
      <c r="J173" s="55" t="s">
        <v>42</v>
      </c>
    </row>
    <row r="174" spans="1:10" ht="15">
      <c r="A174" s="37">
        <v>5</v>
      </c>
      <c r="B174" s="40">
        <v>173</v>
      </c>
      <c r="C174" s="43">
        <v>0.72361111111111109</v>
      </c>
      <c r="D174" s="46">
        <v>0.72361111111111109</v>
      </c>
      <c r="E174" s="43">
        <v>0.72430555555555554</v>
      </c>
      <c r="F174" s="49">
        <f t="shared" si="15"/>
        <v>2.7777777777777679E-3</v>
      </c>
      <c r="G174" s="52">
        <f t="shared" si="12"/>
        <v>4</v>
      </c>
      <c r="H174" s="46">
        <f t="shared" si="13"/>
        <v>6.9444444444444198E-4</v>
      </c>
      <c r="I174" s="52">
        <f t="shared" si="14"/>
        <v>1</v>
      </c>
      <c r="J174" s="55" t="s">
        <v>42</v>
      </c>
    </row>
    <row r="175" spans="1:10" ht="15">
      <c r="A175" s="37">
        <v>5</v>
      </c>
      <c r="B175" s="40">
        <v>174</v>
      </c>
      <c r="C175" s="43">
        <v>0.72986111111111107</v>
      </c>
      <c r="D175" s="46">
        <v>0.72986111111111107</v>
      </c>
      <c r="E175" s="43">
        <v>0.73055555555555551</v>
      </c>
      <c r="F175" s="49">
        <f t="shared" si="15"/>
        <v>6.2499999999999778E-3</v>
      </c>
      <c r="G175" s="52">
        <f t="shared" si="12"/>
        <v>9</v>
      </c>
      <c r="H175" s="46">
        <f t="shared" si="13"/>
        <v>6.9444444444444198E-4</v>
      </c>
      <c r="I175" s="52">
        <f t="shared" si="14"/>
        <v>1</v>
      </c>
      <c r="J175" s="55" t="s">
        <v>43</v>
      </c>
    </row>
    <row r="176" spans="1:10" ht="15">
      <c r="A176" s="37">
        <v>5</v>
      </c>
      <c r="B176" s="40">
        <v>175</v>
      </c>
      <c r="C176" s="43">
        <v>0.73055555555555551</v>
      </c>
      <c r="D176" s="46">
        <v>0.73055555555555551</v>
      </c>
      <c r="E176" s="43">
        <v>0.73402777777777772</v>
      </c>
      <c r="F176" s="49">
        <f t="shared" si="15"/>
        <v>6.9444444444444198E-4</v>
      </c>
      <c r="G176" s="52">
        <f t="shared" si="12"/>
        <v>1</v>
      </c>
      <c r="H176" s="46">
        <f t="shared" si="13"/>
        <v>3.4722222222222099E-3</v>
      </c>
      <c r="I176" s="52">
        <f t="shared" si="14"/>
        <v>5</v>
      </c>
      <c r="J176" s="55" t="s">
        <v>42</v>
      </c>
    </row>
    <row r="177" spans="1:10" ht="15">
      <c r="A177" s="37">
        <v>5</v>
      </c>
      <c r="B177" s="40">
        <v>176</v>
      </c>
      <c r="C177" s="43">
        <v>0.73263888888888884</v>
      </c>
      <c r="D177" s="46">
        <v>0.73402777777777772</v>
      </c>
      <c r="E177" s="43">
        <v>0.7368055555555556</v>
      </c>
      <c r="F177" s="49">
        <f t="shared" si="15"/>
        <v>2.0833333333333259E-3</v>
      </c>
      <c r="G177" s="52">
        <f t="shared" si="12"/>
        <v>3</v>
      </c>
      <c r="H177" s="46">
        <f t="shared" si="13"/>
        <v>2.7777777777778789E-3</v>
      </c>
      <c r="I177" s="52">
        <f t="shared" si="14"/>
        <v>4</v>
      </c>
      <c r="J177" s="55" t="s">
        <v>42</v>
      </c>
    </row>
    <row r="178" spans="1:10" ht="15">
      <c r="A178" s="37">
        <v>5</v>
      </c>
      <c r="B178" s="40">
        <v>177</v>
      </c>
      <c r="C178" s="43">
        <v>0.73333333333333328</v>
      </c>
      <c r="D178" s="46">
        <v>0.7368055555555556</v>
      </c>
      <c r="E178" s="43">
        <v>0.73750000000000004</v>
      </c>
      <c r="F178" s="49">
        <f t="shared" si="15"/>
        <v>6.9444444444444198E-4</v>
      </c>
      <c r="G178" s="52">
        <f t="shared" si="12"/>
        <v>1</v>
      </c>
      <c r="H178" s="46">
        <f t="shared" si="13"/>
        <v>6.9444444444444198E-4</v>
      </c>
      <c r="I178" s="52">
        <f t="shared" si="14"/>
        <v>1</v>
      </c>
      <c r="J178" s="55" t="s">
        <v>42</v>
      </c>
    </row>
    <row r="179" spans="1:10" ht="15">
      <c r="A179" s="37">
        <v>5</v>
      </c>
      <c r="B179" s="40">
        <v>178</v>
      </c>
      <c r="C179" s="43">
        <v>0.73472222222222228</v>
      </c>
      <c r="D179" s="46">
        <v>0.73750000000000004</v>
      </c>
      <c r="E179" s="43">
        <v>0.73888888888888893</v>
      </c>
      <c r="F179" s="49">
        <f t="shared" si="15"/>
        <v>1.388888888888995E-3</v>
      </c>
      <c r="G179" s="52">
        <f t="shared" si="12"/>
        <v>2</v>
      </c>
      <c r="H179" s="46">
        <f t="shared" si="13"/>
        <v>1.388888888888884E-3</v>
      </c>
      <c r="I179" s="52">
        <f t="shared" si="14"/>
        <v>2</v>
      </c>
      <c r="J179" s="55" t="s">
        <v>42</v>
      </c>
    </row>
    <row r="180" spans="1:10" ht="15">
      <c r="A180" s="37">
        <v>5</v>
      </c>
      <c r="B180" s="40">
        <v>179</v>
      </c>
      <c r="C180" s="43">
        <v>0.73472222222222228</v>
      </c>
      <c r="D180" s="46">
        <v>0.73888888888888893</v>
      </c>
      <c r="E180" s="43">
        <v>0.74027777777777781</v>
      </c>
      <c r="F180" s="49">
        <f t="shared" si="15"/>
        <v>0</v>
      </c>
      <c r="G180" s="52">
        <f t="shared" si="12"/>
        <v>0</v>
      </c>
      <c r="H180" s="46">
        <f t="shared" si="13"/>
        <v>1.388888888888884E-3</v>
      </c>
      <c r="I180" s="52">
        <f t="shared" si="14"/>
        <v>2</v>
      </c>
      <c r="J180" s="55" t="s">
        <v>42</v>
      </c>
    </row>
    <row r="181" spans="1:10" ht="15">
      <c r="A181" s="37">
        <v>5</v>
      </c>
      <c r="B181" s="40">
        <v>180</v>
      </c>
      <c r="C181" s="43">
        <v>0.73611111111111116</v>
      </c>
      <c r="D181" s="46">
        <v>0.74027777777777781</v>
      </c>
      <c r="E181" s="43">
        <v>0.74097222222222225</v>
      </c>
      <c r="F181" s="49">
        <f t="shared" si="15"/>
        <v>1.388888888888884E-3</v>
      </c>
      <c r="G181" s="52">
        <f t="shared" si="12"/>
        <v>2</v>
      </c>
      <c r="H181" s="46">
        <f t="shared" si="13"/>
        <v>6.9444444444444198E-4</v>
      </c>
      <c r="I181" s="52">
        <f t="shared" si="14"/>
        <v>1</v>
      </c>
      <c r="J181" s="55" t="s">
        <v>42</v>
      </c>
    </row>
    <row r="182" spans="1:10" ht="15">
      <c r="A182" s="37">
        <v>5</v>
      </c>
      <c r="B182" s="40">
        <v>181</v>
      </c>
      <c r="C182" s="43">
        <v>0.7416666666666667</v>
      </c>
      <c r="D182" s="46">
        <v>0.7416666666666667</v>
      </c>
      <c r="E182" s="43">
        <v>0.74861111111111112</v>
      </c>
      <c r="F182" s="49">
        <f t="shared" si="15"/>
        <v>5.5555555555555358E-3</v>
      </c>
      <c r="G182" s="52">
        <f t="shared" si="12"/>
        <v>8</v>
      </c>
      <c r="H182" s="46">
        <f t="shared" si="13"/>
        <v>6.9444444444444198E-3</v>
      </c>
      <c r="I182" s="52">
        <f t="shared" si="14"/>
        <v>10</v>
      </c>
      <c r="J182" s="55" t="s">
        <v>43</v>
      </c>
    </row>
    <row r="183" spans="1:10" ht="15">
      <c r="A183" s="37">
        <v>5</v>
      </c>
      <c r="B183" s="40">
        <v>182</v>
      </c>
      <c r="C183" s="43">
        <v>0.75</v>
      </c>
      <c r="D183" s="46">
        <v>0.75</v>
      </c>
      <c r="E183" s="43">
        <v>0.75555555555555554</v>
      </c>
      <c r="F183" s="49">
        <f t="shared" si="15"/>
        <v>8.3333333333333037E-3</v>
      </c>
      <c r="G183" s="52">
        <f t="shared" si="12"/>
        <v>12</v>
      </c>
      <c r="H183" s="46">
        <f t="shared" si="13"/>
        <v>5.5555555555555358E-3</v>
      </c>
      <c r="I183" s="52">
        <f t="shared" si="14"/>
        <v>8</v>
      </c>
      <c r="J183" s="55" t="s">
        <v>43</v>
      </c>
    </row>
    <row r="184" spans="1:10" ht="15">
      <c r="A184" s="37">
        <v>5</v>
      </c>
      <c r="B184" s="40">
        <v>183</v>
      </c>
      <c r="C184" s="43">
        <v>0.75138888888888888</v>
      </c>
      <c r="D184" s="46">
        <v>0.75555555555555554</v>
      </c>
      <c r="E184" s="43">
        <v>0.75624999999999998</v>
      </c>
      <c r="F184" s="49">
        <f t="shared" si="15"/>
        <v>1.388888888888884E-3</v>
      </c>
      <c r="G184" s="52">
        <f t="shared" si="12"/>
        <v>2</v>
      </c>
      <c r="H184" s="46">
        <f t="shared" si="13"/>
        <v>6.9444444444444198E-4</v>
      </c>
      <c r="I184" s="52">
        <f t="shared" si="14"/>
        <v>1</v>
      </c>
      <c r="J184" s="55" t="s">
        <v>42</v>
      </c>
    </row>
    <row r="185" spans="1:10" ht="15">
      <c r="A185" s="37">
        <v>5</v>
      </c>
      <c r="B185" s="40">
        <v>184</v>
      </c>
      <c r="C185" s="43">
        <v>0.75208333333333333</v>
      </c>
      <c r="D185" s="46">
        <v>0.75624999999999998</v>
      </c>
      <c r="E185" s="43">
        <v>0.76249999999999996</v>
      </c>
      <c r="F185" s="49">
        <f t="shared" si="15"/>
        <v>6.9444444444444198E-4</v>
      </c>
      <c r="G185" s="52">
        <f t="shared" si="12"/>
        <v>1</v>
      </c>
      <c r="H185" s="46">
        <f t="shared" si="13"/>
        <v>6.2499999999999778E-3</v>
      </c>
      <c r="I185" s="52">
        <f t="shared" si="14"/>
        <v>9</v>
      </c>
      <c r="J185" s="55" t="s">
        <v>42</v>
      </c>
    </row>
    <row r="186" spans="1:10" ht="15">
      <c r="A186" s="37">
        <v>5</v>
      </c>
      <c r="B186" s="40">
        <v>185</v>
      </c>
      <c r="C186" s="43">
        <v>0.75416666666666665</v>
      </c>
      <c r="D186" s="46">
        <v>0.76249999999999996</v>
      </c>
      <c r="E186" s="43">
        <v>0.77013888888888893</v>
      </c>
      <c r="F186" s="49">
        <f t="shared" si="15"/>
        <v>2.0833333333333259E-3</v>
      </c>
      <c r="G186" s="52">
        <f t="shared" si="12"/>
        <v>3</v>
      </c>
      <c r="H186" s="46">
        <f t="shared" si="13"/>
        <v>7.6388888888889728E-3</v>
      </c>
      <c r="I186" s="52">
        <f t="shared" si="14"/>
        <v>11</v>
      </c>
      <c r="J186" s="55" t="s">
        <v>42</v>
      </c>
    </row>
    <row r="187" spans="1:10" ht="15">
      <c r="A187" s="37">
        <v>5</v>
      </c>
      <c r="B187" s="40">
        <v>186</v>
      </c>
      <c r="C187" s="43">
        <v>0.75624999999999998</v>
      </c>
      <c r="D187" s="46">
        <v>0.7729166666666667</v>
      </c>
      <c r="E187" s="43">
        <v>0.77430555555555547</v>
      </c>
      <c r="F187" s="49">
        <f t="shared" si="15"/>
        <v>2.0833333333333259E-3</v>
      </c>
      <c r="G187" s="52">
        <f t="shared" si="12"/>
        <v>3</v>
      </c>
      <c r="H187" s="46">
        <f t="shared" si="13"/>
        <v>1.3888888888887729E-3</v>
      </c>
      <c r="I187" s="52">
        <f t="shared" si="14"/>
        <v>2</v>
      </c>
      <c r="J187" s="55" t="s">
        <v>42</v>
      </c>
    </row>
    <row r="188" spans="1:10" ht="15">
      <c r="A188" s="37">
        <v>5</v>
      </c>
      <c r="B188" s="40">
        <v>187</v>
      </c>
      <c r="C188" s="43">
        <v>0.76944444444444449</v>
      </c>
      <c r="D188" s="46">
        <v>0.77013888888888893</v>
      </c>
      <c r="E188" s="43">
        <v>0.7729166666666667</v>
      </c>
      <c r="F188" s="49">
        <f t="shared" si="15"/>
        <v>1.3194444444444509E-2</v>
      </c>
      <c r="G188" s="52">
        <f t="shared" si="12"/>
        <v>19</v>
      </c>
      <c r="H188" s="46">
        <f t="shared" si="13"/>
        <v>2.7777777777777679E-3</v>
      </c>
      <c r="I188" s="52">
        <f t="shared" si="14"/>
        <v>4</v>
      </c>
      <c r="J188" s="55" t="s">
        <v>43</v>
      </c>
    </row>
    <row r="189" spans="1:10" ht="15">
      <c r="A189" s="37">
        <v>5</v>
      </c>
      <c r="B189" s="40">
        <v>188</v>
      </c>
      <c r="C189" s="43">
        <v>0.77013888888888893</v>
      </c>
      <c r="D189" s="46">
        <v>0.77430555555555558</v>
      </c>
      <c r="E189" s="43">
        <v>0.78125</v>
      </c>
      <c r="F189" s="49">
        <f t="shared" si="15"/>
        <v>6.9444444444444198E-4</v>
      </c>
      <c r="G189" s="52">
        <f t="shared" si="12"/>
        <v>1</v>
      </c>
      <c r="H189" s="46">
        <f t="shared" si="13"/>
        <v>6.9444444444444198E-3</v>
      </c>
      <c r="I189" s="52">
        <f t="shared" si="14"/>
        <v>10</v>
      </c>
      <c r="J189" s="55" t="s">
        <v>42</v>
      </c>
    </row>
    <row r="190" spans="1:10" ht="15">
      <c r="A190" s="37">
        <v>5</v>
      </c>
      <c r="B190" s="40">
        <v>189</v>
      </c>
      <c r="C190" s="43">
        <v>0.77083333333333337</v>
      </c>
      <c r="D190" s="46">
        <v>0.78125</v>
      </c>
      <c r="E190" s="43">
        <v>0.78611111111111109</v>
      </c>
      <c r="F190" s="49">
        <f t="shared" si="15"/>
        <v>6.9444444444444198E-4</v>
      </c>
      <c r="G190" s="52">
        <f t="shared" si="12"/>
        <v>1</v>
      </c>
      <c r="H190" s="46">
        <f t="shared" si="13"/>
        <v>4.8611111111110938E-3</v>
      </c>
      <c r="I190" s="52">
        <f t="shared" si="14"/>
        <v>7</v>
      </c>
      <c r="J190" s="55" t="s">
        <v>42</v>
      </c>
    </row>
    <row r="191" spans="1:10" ht="15">
      <c r="A191" s="37">
        <v>5</v>
      </c>
      <c r="B191" s="40">
        <v>190</v>
      </c>
      <c r="C191" s="43">
        <v>0.77083333333333337</v>
      </c>
      <c r="D191" s="46">
        <v>0.78611111111111109</v>
      </c>
      <c r="E191" s="43">
        <v>0.78680555555555554</v>
      </c>
      <c r="F191" s="49">
        <f t="shared" si="15"/>
        <v>0</v>
      </c>
      <c r="G191" s="52">
        <f t="shared" si="12"/>
        <v>0</v>
      </c>
      <c r="H191" s="46">
        <f t="shared" si="13"/>
        <v>6.9444444444444198E-4</v>
      </c>
      <c r="I191" s="52">
        <f t="shared" si="14"/>
        <v>1</v>
      </c>
      <c r="J191" s="55" t="s">
        <v>42</v>
      </c>
    </row>
    <row r="192" spans="1:10" ht="15">
      <c r="A192" s="37">
        <v>5</v>
      </c>
      <c r="B192" s="40">
        <v>191</v>
      </c>
      <c r="C192" s="43">
        <v>0.77083333333333337</v>
      </c>
      <c r="D192" s="46">
        <v>0.78680555555555554</v>
      </c>
      <c r="E192" s="43">
        <v>0.78749999999999998</v>
      </c>
      <c r="F192" s="49">
        <f t="shared" si="15"/>
        <v>0</v>
      </c>
      <c r="G192" s="52">
        <f t="shared" si="12"/>
        <v>0</v>
      </c>
      <c r="H192" s="46">
        <f t="shared" si="13"/>
        <v>6.9444444444444198E-4</v>
      </c>
      <c r="I192" s="52">
        <f t="shared" si="14"/>
        <v>1</v>
      </c>
      <c r="J192" s="55" t="s">
        <v>42</v>
      </c>
    </row>
    <row r="193" spans="1:10" ht="15">
      <c r="A193" s="37">
        <v>5</v>
      </c>
      <c r="B193" s="40">
        <v>192</v>
      </c>
      <c r="C193" s="43">
        <v>0.77361111111111114</v>
      </c>
      <c r="D193" s="46">
        <v>0.78749999999999998</v>
      </c>
      <c r="E193" s="43">
        <v>0.78819444444444442</v>
      </c>
      <c r="F193" s="49">
        <f t="shared" si="15"/>
        <v>2.7777777777777679E-3</v>
      </c>
      <c r="G193" s="52">
        <f t="shared" si="12"/>
        <v>4</v>
      </c>
      <c r="H193" s="46">
        <f t="shared" si="13"/>
        <v>6.9444444444444198E-4</v>
      </c>
      <c r="I193" s="52">
        <f t="shared" si="14"/>
        <v>1</v>
      </c>
      <c r="J193" s="55" t="s">
        <v>42</v>
      </c>
    </row>
    <row r="194" spans="1:10" ht="15">
      <c r="A194" s="37">
        <v>5</v>
      </c>
      <c r="B194" s="40">
        <v>193</v>
      </c>
      <c r="C194" s="43">
        <v>0.77777777777777779</v>
      </c>
      <c r="D194" s="46">
        <v>0.78819444444444442</v>
      </c>
      <c r="E194" s="43">
        <v>0.79166666666666663</v>
      </c>
      <c r="F194" s="49">
        <f t="shared" si="15"/>
        <v>4.1666666666666519E-3</v>
      </c>
      <c r="G194" s="52">
        <f t="shared" si="12"/>
        <v>6</v>
      </c>
      <c r="H194" s="46">
        <f t="shared" si="13"/>
        <v>3.4722222222222099E-3</v>
      </c>
      <c r="I194" s="52">
        <f t="shared" si="14"/>
        <v>5</v>
      </c>
      <c r="J194" s="55" t="s">
        <v>42</v>
      </c>
    </row>
    <row r="195" spans="1:10" ht="15">
      <c r="A195" s="37">
        <v>5</v>
      </c>
      <c r="B195" s="40">
        <v>194</v>
      </c>
      <c r="C195" s="43">
        <v>0.77777777777777779</v>
      </c>
      <c r="D195" s="46">
        <v>0.79166666666666663</v>
      </c>
      <c r="E195" s="43">
        <v>0.79305555555555551</v>
      </c>
      <c r="F195" s="49">
        <f t="shared" si="15"/>
        <v>0</v>
      </c>
      <c r="G195" s="52">
        <f t="shared" ref="G195:G241" si="16">MINUTE(F195)</f>
        <v>0</v>
      </c>
      <c r="H195" s="46">
        <f t="shared" ref="H195:H241" si="17">E195-D195</f>
        <v>1.388888888888884E-3</v>
      </c>
      <c r="I195" s="52">
        <f t="shared" ref="I195:I240" si="18">MINUTE(H195)</f>
        <v>2</v>
      </c>
      <c r="J195" s="55" t="s">
        <v>42</v>
      </c>
    </row>
    <row r="196" spans="1:10" ht="15">
      <c r="A196" s="37">
        <v>5</v>
      </c>
      <c r="B196" s="40">
        <v>195</v>
      </c>
      <c r="C196" s="43">
        <v>0.78611111111111109</v>
      </c>
      <c r="D196" s="46">
        <v>0.79305555555555551</v>
      </c>
      <c r="E196" s="43">
        <v>0.7944444444444444</v>
      </c>
      <c r="F196" s="49">
        <f t="shared" si="15"/>
        <v>8.3333333333333037E-3</v>
      </c>
      <c r="G196" s="52">
        <f t="shared" si="16"/>
        <v>12</v>
      </c>
      <c r="H196" s="46">
        <f t="shared" si="17"/>
        <v>1.388888888888884E-3</v>
      </c>
      <c r="I196" s="52">
        <f t="shared" si="18"/>
        <v>2</v>
      </c>
      <c r="J196" s="55" t="s">
        <v>42</v>
      </c>
    </row>
    <row r="197" spans="1:10" ht="15">
      <c r="A197" s="37">
        <v>5</v>
      </c>
      <c r="B197" s="40">
        <v>196</v>
      </c>
      <c r="C197" s="43">
        <v>0.78888888888888886</v>
      </c>
      <c r="D197" s="46">
        <v>0.7944444444444444</v>
      </c>
      <c r="E197" s="43">
        <v>0.79583333333333328</v>
      </c>
      <c r="F197" s="49">
        <f t="shared" si="15"/>
        <v>2.7777777777777679E-3</v>
      </c>
      <c r="G197" s="52">
        <f t="shared" si="16"/>
        <v>4</v>
      </c>
      <c r="H197" s="46">
        <f t="shared" si="17"/>
        <v>1.388888888888884E-3</v>
      </c>
      <c r="I197" s="52">
        <f t="shared" si="18"/>
        <v>2</v>
      </c>
      <c r="J197" s="55" t="s">
        <v>42</v>
      </c>
    </row>
    <row r="198" spans="1:10" ht="15">
      <c r="A198" s="37">
        <v>5</v>
      </c>
      <c r="B198" s="40">
        <v>197</v>
      </c>
      <c r="C198" s="43">
        <v>0.79097222222222219</v>
      </c>
      <c r="D198" s="46">
        <v>0.79583333333333328</v>
      </c>
      <c r="E198" s="43">
        <v>0.79722222222222228</v>
      </c>
      <c r="F198" s="49">
        <f t="shared" si="15"/>
        <v>2.0833333333333259E-3</v>
      </c>
      <c r="G198" s="52">
        <f t="shared" si="16"/>
        <v>3</v>
      </c>
      <c r="H198" s="46">
        <f t="shared" si="17"/>
        <v>1.388888888888995E-3</v>
      </c>
      <c r="I198" s="52">
        <f t="shared" si="18"/>
        <v>2</v>
      </c>
      <c r="J198" s="55" t="s">
        <v>42</v>
      </c>
    </row>
    <row r="199" spans="1:10" ht="15">
      <c r="A199" s="37">
        <v>5</v>
      </c>
      <c r="B199" s="40">
        <v>198</v>
      </c>
      <c r="C199" s="43">
        <v>0.79097222222222219</v>
      </c>
      <c r="D199" s="46">
        <v>0.79722222222222228</v>
      </c>
      <c r="E199" s="43">
        <v>0.79861111111111116</v>
      </c>
      <c r="F199" s="49">
        <f t="shared" si="15"/>
        <v>0</v>
      </c>
      <c r="G199" s="52">
        <f t="shared" si="16"/>
        <v>0</v>
      </c>
      <c r="H199" s="46">
        <f t="shared" si="17"/>
        <v>1.388888888888884E-3</v>
      </c>
      <c r="I199" s="52">
        <f t="shared" si="18"/>
        <v>2</v>
      </c>
      <c r="J199" s="55" t="s">
        <v>42</v>
      </c>
    </row>
    <row r="200" spans="1:10" ht="15">
      <c r="A200" s="37">
        <v>5</v>
      </c>
      <c r="B200" s="40">
        <v>199</v>
      </c>
      <c r="C200" s="43">
        <v>0.79791666666666672</v>
      </c>
      <c r="D200" s="46">
        <v>0.79861111111111116</v>
      </c>
      <c r="E200" s="43">
        <v>0.80277777777777781</v>
      </c>
      <c r="F200" s="49">
        <f t="shared" si="15"/>
        <v>6.9444444444445308E-3</v>
      </c>
      <c r="G200" s="52">
        <f t="shared" si="16"/>
        <v>10</v>
      </c>
      <c r="H200" s="46">
        <f t="shared" si="17"/>
        <v>4.1666666666666519E-3</v>
      </c>
      <c r="I200" s="52">
        <f t="shared" si="18"/>
        <v>6</v>
      </c>
      <c r="J200" s="55" t="s">
        <v>42</v>
      </c>
    </row>
    <row r="201" spans="1:10" ht="15">
      <c r="A201" s="38">
        <v>5</v>
      </c>
      <c r="B201" s="41">
        <v>200</v>
      </c>
      <c r="C201" s="44">
        <v>0.8</v>
      </c>
      <c r="D201" s="47">
        <v>0.80277777777777781</v>
      </c>
      <c r="E201" s="44">
        <v>0.80347222222222225</v>
      </c>
      <c r="F201" s="50">
        <f t="shared" si="15"/>
        <v>2.0833333333333259E-3</v>
      </c>
      <c r="G201" s="53">
        <f t="shared" si="16"/>
        <v>3</v>
      </c>
      <c r="H201" s="47">
        <f t="shared" si="17"/>
        <v>6.9444444444444198E-4</v>
      </c>
      <c r="I201" s="53">
        <f t="shared" si="18"/>
        <v>1</v>
      </c>
      <c r="J201" s="56" t="s">
        <v>43</v>
      </c>
    </row>
    <row r="202" spans="1:10" ht="15">
      <c r="A202" s="37">
        <v>6</v>
      </c>
      <c r="B202" s="40">
        <v>201</v>
      </c>
      <c r="C202" s="43">
        <v>0.66666666666666663</v>
      </c>
      <c r="D202" s="46">
        <v>0.66666666666666663</v>
      </c>
      <c r="E202" s="43">
        <v>0.67152777777777772</v>
      </c>
      <c r="F202" s="49">
        <v>0</v>
      </c>
      <c r="G202" s="52">
        <f t="shared" si="16"/>
        <v>0</v>
      </c>
      <c r="H202" s="46">
        <f t="shared" si="17"/>
        <v>4.8611111111110938E-3</v>
      </c>
      <c r="I202" s="52">
        <f t="shared" si="18"/>
        <v>7</v>
      </c>
      <c r="J202" s="55" t="s">
        <v>43</v>
      </c>
    </row>
    <row r="203" spans="1:10" ht="15">
      <c r="A203" s="37">
        <v>6</v>
      </c>
      <c r="B203" s="40">
        <v>202</v>
      </c>
      <c r="C203" s="43">
        <v>0.66736111111111107</v>
      </c>
      <c r="D203" s="46">
        <v>0.67152777777777772</v>
      </c>
      <c r="E203" s="43">
        <v>0.67986111111111114</v>
      </c>
      <c r="F203" s="49">
        <f>C203-C202</f>
        <v>6.9444444444444198E-4</v>
      </c>
      <c r="G203" s="52">
        <f t="shared" si="16"/>
        <v>1</v>
      </c>
      <c r="H203" s="46">
        <f t="shared" si="17"/>
        <v>8.3333333333334147E-3</v>
      </c>
      <c r="I203" s="52">
        <f t="shared" si="18"/>
        <v>12</v>
      </c>
      <c r="J203" s="55" t="s">
        <v>43</v>
      </c>
    </row>
    <row r="204" spans="1:10" ht="15">
      <c r="A204" s="37">
        <v>6</v>
      </c>
      <c r="B204" s="40">
        <v>203</v>
      </c>
      <c r="C204" s="43">
        <v>0.67708333333333337</v>
      </c>
      <c r="D204" s="46">
        <v>0.68333333333333324</v>
      </c>
      <c r="E204" s="43">
        <v>0.68402777777777779</v>
      </c>
      <c r="F204" s="49">
        <f t="shared" ref="F204:F241" si="19">C204-C203</f>
        <v>9.7222222222222987E-3</v>
      </c>
      <c r="G204" s="52">
        <f t="shared" si="16"/>
        <v>14</v>
      </c>
      <c r="H204" s="46">
        <f t="shared" si="17"/>
        <v>6.94444444444553E-4</v>
      </c>
      <c r="I204" s="52">
        <f t="shared" si="18"/>
        <v>1</v>
      </c>
      <c r="J204" s="55" t="s">
        <v>42</v>
      </c>
    </row>
    <row r="205" spans="1:10" ht="15">
      <c r="A205" s="37">
        <v>6</v>
      </c>
      <c r="B205" s="40">
        <v>204</v>
      </c>
      <c r="C205" s="43">
        <v>0.67708333333333337</v>
      </c>
      <c r="D205" s="46">
        <v>0.67986111111111114</v>
      </c>
      <c r="E205" s="43">
        <v>0.68333333333333324</v>
      </c>
      <c r="F205" s="49">
        <f t="shared" si="19"/>
        <v>0</v>
      </c>
      <c r="G205" s="52">
        <f t="shared" si="16"/>
        <v>0</v>
      </c>
      <c r="H205" s="46">
        <f t="shared" si="17"/>
        <v>3.4722222222220989E-3</v>
      </c>
      <c r="I205" s="52">
        <f t="shared" si="18"/>
        <v>5</v>
      </c>
      <c r="J205" s="55" t="s">
        <v>43</v>
      </c>
    </row>
    <row r="206" spans="1:10" ht="15">
      <c r="A206" s="37">
        <v>6</v>
      </c>
      <c r="B206" s="40">
        <v>205</v>
      </c>
      <c r="C206" s="43">
        <v>0.6791666666666667</v>
      </c>
      <c r="D206" s="46">
        <v>0.68402777777777779</v>
      </c>
      <c r="E206" s="43">
        <v>0.68472222222222223</v>
      </c>
      <c r="F206" s="49">
        <f t="shared" si="19"/>
        <v>2.0833333333333259E-3</v>
      </c>
      <c r="G206" s="52">
        <f t="shared" si="16"/>
        <v>3</v>
      </c>
      <c r="H206" s="46">
        <f t="shared" si="17"/>
        <v>6.9444444444444198E-4</v>
      </c>
      <c r="I206" s="52">
        <f t="shared" si="18"/>
        <v>1</v>
      </c>
      <c r="J206" s="55" t="s">
        <v>42</v>
      </c>
    </row>
    <row r="207" spans="1:10" ht="15">
      <c r="A207" s="37">
        <v>6</v>
      </c>
      <c r="B207" s="40">
        <v>206</v>
      </c>
      <c r="C207" s="43">
        <v>0.68194444444444446</v>
      </c>
      <c r="D207" s="46">
        <v>0.68472222222222223</v>
      </c>
      <c r="E207" s="43">
        <v>0.68541666666666667</v>
      </c>
      <c r="F207" s="49">
        <f t="shared" si="19"/>
        <v>2.7777777777777679E-3</v>
      </c>
      <c r="G207" s="52">
        <f t="shared" si="16"/>
        <v>4</v>
      </c>
      <c r="H207" s="46">
        <f t="shared" si="17"/>
        <v>6.9444444444444198E-4</v>
      </c>
      <c r="I207" s="52">
        <f t="shared" si="18"/>
        <v>1</v>
      </c>
      <c r="J207" s="55" t="s">
        <v>42</v>
      </c>
    </row>
    <row r="208" spans="1:10" ht="15">
      <c r="A208" s="37">
        <v>6</v>
      </c>
      <c r="B208" s="40">
        <v>207</v>
      </c>
      <c r="C208" s="43">
        <v>0.69374999999999998</v>
      </c>
      <c r="D208" s="46">
        <v>0.69374999999999998</v>
      </c>
      <c r="E208" s="43">
        <v>0.69444444444444442</v>
      </c>
      <c r="F208" s="49">
        <f t="shared" si="19"/>
        <v>1.1805555555555514E-2</v>
      </c>
      <c r="G208" s="52">
        <f t="shared" si="16"/>
        <v>17</v>
      </c>
      <c r="H208" s="46">
        <f t="shared" si="17"/>
        <v>6.9444444444444198E-4</v>
      </c>
      <c r="I208" s="52">
        <f t="shared" si="18"/>
        <v>1</v>
      </c>
      <c r="J208" s="55" t="s">
        <v>42</v>
      </c>
    </row>
    <row r="209" spans="1:10" ht="15">
      <c r="A209" s="37">
        <v>6</v>
      </c>
      <c r="B209" s="40">
        <v>208</v>
      </c>
      <c r="C209" s="43">
        <v>0.69444444444444442</v>
      </c>
      <c r="D209" s="46">
        <v>0.69444444444444442</v>
      </c>
      <c r="E209" s="43">
        <v>0.69513888888888886</v>
      </c>
      <c r="F209" s="49">
        <f t="shared" si="19"/>
        <v>6.9444444444444198E-4</v>
      </c>
      <c r="G209" s="52">
        <f t="shared" si="16"/>
        <v>1</v>
      </c>
      <c r="H209" s="46">
        <f t="shared" si="17"/>
        <v>6.9444444444444198E-4</v>
      </c>
      <c r="I209" s="52">
        <f t="shared" si="18"/>
        <v>1</v>
      </c>
      <c r="J209" s="55" t="s">
        <v>42</v>
      </c>
    </row>
    <row r="210" spans="1:10" ht="15">
      <c r="A210" s="37">
        <v>6</v>
      </c>
      <c r="B210" s="40">
        <v>209</v>
      </c>
      <c r="C210" s="43">
        <v>0.69513888888888886</v>
      </c>
      <c r="D210" s="46">
        <v>0.69513888888888886</v>
      </c>
      <c r="E210" s="43">
        <v>0.6958333333333333</v>
      </c>
      <c r="F210" s="49">
        <f t="shared" si="19"/>
        <v>6.9444444444444198E-4</v>
      </c>
      <c r="G210" s="52">
        <f t="shared" si="16"/>
        <v>1</v>
      </c>
      <c r="H210" s="46">
        <f t="shared" si="17"/>
        <v>6.9444444444444198E-4</v>
      </c>
      <c r="I210" s="52">
        <f t="shared" si="18"/>
        <v>1</v>
      </c>
      <c r="J210" s="55" t="s">
        <v>42</v>
      </c>
    </row>
    <row r="211" spans="1:10" ht="15">
      <c r="A211" s="37">
        <v>6</v>
      </c>
      <c r="B211" s="40">
        <v>210</v>
      </c>
      <c r="C211" s="43">
        <v>0.69513888888888886</v>
      </c>
      <c r="D211" s="46">
        <v>0.6958333333333333</v>
      </c>
      <c r="E211" s="43">
        <v>0.7006944444444444</v>
      </c>
      <c r="F211" s="49">
        <f t="shared" si="19"/>
        <v>0</v>
      </c>
      <c r="G211" s="52">
        <f t="shared" si="16"/>
        <v>0</v>
      </c>
      <c r="H211" s="46">
        <f t="shared" si="17"/>
        <v>4.8611111111110938E-3</v>
      </c>
      <c r="I211" s="52">
        <f t="shared" si="18"/>
        <v>7</v>
      </c>
      <c r="J211" s="55" t="s">
        <v>42</v>
      </c>
    </row>
    <row r="212" spans="1:10" ht="15">
      <c r="A212" s="37">
        <v>6</v>
      </c>
      <c r="B212" s="40">
        <v>211</v>
      </c>
      <c r="C212" s="43">
        <v>0.70208333333333328</v>
      </c>
      <c r="D212" s="46">
        <v>0.70208333333333328</v>
      </c>
      <c r="E212" s="43">
        <v>0.71458333333333335</v>
      </c>
      <c r="F212" s="49">
        <f t="shared" si="19"/>
        <v>6.9444444444444198E-3</v>
      </c>
      <c r="G212" s="52">
        <f t="shared" si="16"/>
        <v>10</v>
      </c>
      <c r="H212" s="46">
        <f t="shared" si="17"/>
        <v>1.2500000000000067E-2</v>
      </c>
      <c r="I212" s="52">
        <f t="shared" si="18"/>
        <v>18</v>
      </c>
      <c r="J212" s="55" t="s">
        <v>43</v>
      </c>
    </row>
    <row r="213" spans="1:10" ht="15">
      <c r="A213" s="37">
        <v>6</v>
      </c>
      <c r="B213" s="40">
        <v>212</v>
      </c>
      <c r="C213" s="43">
        <v>0.70347222222222228</v>
      </c>
      <c r="D213" s="46">
        <v>0.71458333333333335</v>
      </c>
      <c r="E213" s="43">
        <v>0.71527777777777779</v>
      </c>
      <c r="F213" s="49">
        <f t="shared" si="19"/>
        <v>1.388888888888995E-3</v>
      </c>
      <c r="G213" s="52">
        <f t="shared" si="16"/>
        <v>2</v>
      </c>
      <c r="H213" s="46">
        <f t="shared" si="17"/>
        <v>6.9444444444444198E-4</v>
      </c>
      <c r="I213" s="52">
        <f t="shared" si="18"/>
        <v>1</v>
      </c>
      <c r="J213" s="55" t="s">
        <v>42</v>
      </c>
    </row>
    <row r="214" spans="1:10" ht="15">
      <c r="A214" s="37">
        <v>6</v>
      </c>
      <c r="B214" s="40">
        <v>213</v>
      </c>
      <c r="C214" s="43">
        <v>0.71250000000000002</v>
      </c>
      <c r="D214" s="46">
        <v>0.71527777777777779</v>
      </c>
      <c r="E214" s="43">
        <v>0.71805555555555556</v>
      </c>
      <c r="F214" s="49">
        <f t="shared" si="19"/>
        <v>9.0277777777777457E-3</v>
      </c>
      <c r="G214" s="52">
        <f t="shared" si="16"/>
        <v>13</v>
      </c>
      <c r="H214" s="46">
        <f t="shared" si="17"/>
        <v>2.7777777777777679E-3</v>
      </c>
      <c r="I214" s="52">
        <f t="shared" si="18"/>
        <v>4</v>
      </c>
      <c r="J214" s="55" t="s">
        <v>42</v>
      </c>
    </row>
    <row r="215" spans="1:10" ht="15">
      <c r="A215" s="37">
        <v>6</v>
      </c>
      <c r="B215" s="40">
        <v>214</v>
      </c>
      <c r="C215" s="43">
        <v>0.71388888888888891</v>
      </c>
      <c r="D215" s="46">
        <v>0.73749999999999993</v>
      </c>
      <c r="E215" s="43">
        <v>0.7402777777777777</v>
      </c>
      <c r="F215" s="49">
        <f t="shared" si="19"/>
        <v>1.388888888888884E-3</v>
      </c>
      <c r="G215" s="52">
        <f t="shared" si="16"/>
        <v>2</v>
      </c>
      <c r="H215" s="46">
        <f t="shared" si="17"/>
        <v>2.7777777777777679E-3</v>
      </c>
      <c r="I215" s="52">
        <f t="shared" si="18"/>
        <v>4</v>
      </c>
      <c r="J215" s="55" t="s">
        <v>42</v>
      </c>
    </row>
    <row r="216" spans="1:10" ht="15">
      <c r="A216" s="37">
        <v>6</v>
      </c>
      <c r="B216" s="40">
        <v>215</v>
      </c>
      <c r="C216" s="43">
        <v>0.71388888888888891</v>
      </c>
      <c r="D216" s="46">
        <v>0.7402777777777777</v>
      </c>
      <c r="E216" s="43">
        <v>0.74375000000000002</v>
      </c>
      <c r="F216" s="49">
        <f t="shared" si="19"/>
        <v>0</v>
      </c>
      <c r="G216" s="52">
        <f t="shared" si="16"/>
        <v>0</v>
      </c>
      <c r="H216" s="46">
        <f t="shared" si="17"/>
        <v>3.4722222222223209E-3</v>
      </c>
      <c r="I216" s="52">
        <f t="shared" si="18"/>
        <v>5</v>
      </c>
      <c r="J216" s="55" t="s">
        <v>42</v>
      </c>
    </row>
    <row r="217" spans="1:10" ht="15">
      <c r="A217" s="37">
        <v>6</v>
      </c>
      <c r="B217" s="40">
        <v>216</v>
      </c>
      <c r="C217" s="43">
        <v>0.71388888888888891</v>
      </c>
      <c r="D217" s="46">
        <v>0.74375000000000002</v>
      </c>
      <c r="E217" s="43">
        <v>0.74722222222222223</v>
      </c>
      <c r="F217" s="49">
        <f t="shared" si="19"/>
        <v>0</v>
      </c>
      <c r="G217" s="52">
        <f t="shared" si="16"/>
        <v>0</v>
      </c>
      <c r="H217" s="46">
        <f t="shared" si="17"/>
        <v>3.4722222222222099E-3</v>
      </c>
      <c r="I217" s="52">
        <f t="shared" si="18"/>
        <v>5</v>
      </c>
      <c r="J217" s="55" t="s">
        <v>42</v>
      </c>
    </row>
    <row r="218" spans="1:10" ht="15">
      <c r="A218" s="37">
        <v>6</v>
      </c>
      <c r="B218" s="40">
        <v>217</v>
      </c>
      <c r="C218" s="43">
        <v>0.71805555555555556</v>
      </c>
      <c r="D218" s="46">
        <v>0.71805555555555556</v>
      </c>
      <c r="E218" s="43">
        <v>0.72986111111111107</v>
      </c>
      <c r="F218" s="49">
        <f t="shared" si="19"/>
        <v>4.1666666666666519E-3</v>
      </c>
      <c r="G218" s="52">
        <f t="shared" si="16"/>
        <v>6</v>
      </c>
      <c r="H218" s="46">
        <f t="shared" si="17"/>
        <v>1.1805555555555514E-2</v>
      </c>
      <c r="I218" s="52">
        <f t="shared" si="18"/>
        <v>17</v>
      </c>
      <c r="J218" s="55" t="s">
        <v>43</v>
      </c>
    </row>
    <row r="219" spans="1:10" ht="15">
      <c r="A219" s="37">
        <v>6</v>
      </c>
      <c r="B219" s="40">
        <v>218</v>
      </c>
      <c r="C219" s="43">
        <v>0.72222222222222221</v>
      </c>
      <c r="D219" s="46">
        <v>0.72986111111111107</v>
      </c>
      <c r="E219" s="43">
        <v>0.73749999999999993</v>
      </c>
      <c r="F219" s="49">
        <f t="shared" si="19"/>
        <v>4.1666666666666519E-3</v>
      </c>
      <c r="G219" s="52">
        <f t="shared" si="16"/>
        <v>6</v>
      </c>
      <c r="H219" s="46">
        <f t="shared" si="17"/>
        <v>7.6388888888888618E-3</v>
      </c>
      <c r="I219" s="52">
        <f t="shared" si="18"/>
        <v>11</v>
      </c>
      <c r="J219" s="55" t="s">
        <v>43</v>
      </c>
    </row>
    <row r="220" spans="1:10" ht="15">
      <c r="A220" s="37">
        <v>6</v>
      </c>
      <c r="B220" s="40">
        <v>219</v>
      </c>
      <c r="C220" s="43">
        <v>0.7270833333333333</v>
      </c>
      <c r="D220" s="46">
        <v>0.74722222222222223</v>
      </c>
      <c r="E220" s="43">
        <v>0.74791666666666667</v>
      </c>
      <c r="F220" s="49">
        <f t="shared" si="19"/>
        <v>4.8611111111110938E-3</v>
      </c>
      <c r="G220" s="52">
        <f t="shared" si="16"/>
        <v>7</v>
      </c>
      <c r="H220" s="46">
        <f t="shared" si="17"/>
        <v>6.9444444444444198E-4</v>
      </c>
      <c r="I220" s="52">
        <f t="shared" si="18"/>
        <v>1</v>
      </c>
      <c r="J220" s="55" t="s">
        <v>42</v>
      </c>
    </row>
    <row r="221" spans="1:10" ht="15">
      <c r="A221" s="37">
        <v>6</v>
      </c>
      <c r="B221" s="40">
        <v>220</v>
      </c>
      <c r="C221" s="43">
        <v>0.7270833333333333</v>
      </c>
      <c r="D221" s="46">
        <v>0.74791666666666667</v>
      </c>
      <c r="E221" s="43">
        <v>0.74861111111111112</v>
      </c>
      <c r="F221" s="49">
        <f t="shared" si="19"/>
        <v>0</v>
      </c>
      <c r="G221" s="52">
        <f t="shared" si="16"/>
        <v>0</v>
      </c>
      <c r="H221" s="46">
        <f t="shared" si="17"/>
        <v>6.9444444444444198E-4</v>
      </c>
      <c r="I221" s="52">
        <f t="shared" si="18"/>
        <v>1</v>
      </c>
      <c r="J221" s="55" t="s">
        <v>42</v>
      </c>
    </row>
    <row r="222" spans="1:10" ht="15">
      <c r="A222" s="37">
        <v>6</v>
      </c>
      <c r="B222" s="40">
        <v>221</v>
      </c>
      <c r="C222" s="43">
        <v>0.73263888888888884</v>
      </c>
      <c r="D222" s="46">
        <v>0.74861111111111112</v>
      </c>
      <c r="E222" s="43">
        <v>0.74930555555555556</v>
      </c>
      <c r="F222" s="49">
        <f t="shared" si="19"/>
        <v>5.5555555555555358E-3</v>
      </c>
      <c r="G222" s="52">
        <f t="shared" si="16"/>
        <v>8</v>
      </c>
      <c r="H222" s="46">
        <f t="shared" si="17"/>
        <v>6.9444444444444198E-4</v>
      </c>
      <c r="I222" s="52">
        <f t="shared" si="18"/>
        <v>1</v>
      </c>
      <c r="J222" s="55" t="s">
        <v>42</v>
      </c>
    </row>
    <row r="223" spans="1:10" ht="15">
      <c r="A223" s="37">
        <v>6</v>
      </c>
      <c r="B223" s="40">
        <v>222</v>
      </c>
      <c r="C223" s="43">
        <v>0.73472222222222228</v>
      </c>
      <c r="D223" s="46">
        <v>0.74930555555555556</v>
      </c>
      <c r="E223" s="43">
        <v>0.75208333333333333</v>
      </c>
      <c r="F223" s="49">
        <f t="shared" si="19"/>
        <v>2.083333333333437E-3</v>
      </c>
      <c r="G223" s="52">
        <f t="shared" si="16"/>
        <v>3</v>
      </c>
      <c r="H223" s="46">
        <f t="shared" si="17"/>
        <v>2.7777777777777679E-3</v>
      </c>
      <c r="I223" s="52">
        <f t="shared" si="18"/>
        <v>4</v>
      </c>
      <c r="J223" s="55" t="s">
        <v>42</v>
      </c>
    </row>
    <row r="224" spans="1:10" ht="15">
      <c r="A224" s="37">
        <v>6</v>
      </c>
      <c r="B224" s="40">
        <v>223</v>
      </c>
      <c r="C224" s="43">
        <v>0.73611111111111116</v>
      </c>
      <c r="D224" s="46">
        <v>0.75208333333333333</v>
      </c>
      <c r="E224" s="43">
        <v>0.75277777777777777</v>
      </c>
      <c r="F224" s="49">
        <f t="shared" si="19"/>
        <v>1.388888888888884E-3</v>
      </c>
      <c r="G224" s="52">
        <f t="shared" si="16"/>
        <v>2</v>
      </c>
      <c r="H224" s="46">
        <f t="shared" si="17"/>
        <v>6.9444444444444198E-4</v>
      </c>
      <c r="I224" s="52">
        <f t="shared" si="18"/>
        <v>1</v>
      </c>
      <c r="J224" s="55" t="s">
        <v>42</v>
      </c>
    </row>
    <row r="225" spans="1:10" ht="15">
      <c r="A225" s="37">
        <v>6</v>
      </c>
      <c r="B225" s="40">
        <v>224</v>
      </c>
      <c r="C225" s="43">
        <v>0.73750000000000004</v>
      </c>
      <c r="D225" s="46">
        <v>0.75277777777777777</v>
      </c>
      <c r="E225" s="43">
        <v>0.75347222222222221</v>
      </c>
      <c r="F225" s="49">
        <f t="shared" si="19"/>
        <v>1.388888888888884E-3</v>
      </c>
      <c r="G225" s="52">
        <f t="shared" si="16"/>
        <v>2</v>
      </c>
      <c r="H225" s="46">
        <f t="shared" si="17"/>
        <v>6.9444444444444198E-4</v>
      </c>
      <c r="I225" s="52">
        <f t="shared" si="18"/>
        <v>1</v>
      </c>
      <c r="J225" s="55" t="s">
        <v>42</v>
      </c>
    </row>
    <row r="226" spans="1:10" ht="15">
      <c r="A226" s="37">
        <v>6</v>
      </c>
      <c r="B226" s="40">
        <v>225</v>
      </c>
      <c r="C226" s="43">
        <v>0.73888888888888893</v>
      </c>
      <c r="D226" s="46">
        <v>0.75347222222222221</v>
      </c>
      <c r="E226" s="43">
        <v>0.75624999999999998</v>
      </c>
      <c r="F226" s="49">
        <f t="shared" si="19"/>
        <v>1.388888888888884E-3</v>
      </c>
      <c r="G226" s="52">
        <f t="shared" si="16"/>
        <v>2</v>
      </c>
      <c r="H226" s="46">
        <f t="shared" si="17"/>
        <v>2.7777777777777679E-3</v>
      </c>
      <c r="I226" s="52">
        <f t="shared" si="18"/>
        <v>4</v>
      </c>
      <c r="J226" s="55" t="s">
        <v>42</v>
      </c>
    </row>
    <row r="227" spans="1:10" ht="15">
      <c r="A227" s="37">
        <v>6</v>
      </c>
      <c r="B227" s="40">
        <v>226</v>
      </c>
      <c r="C227" s="43">
        <v>0.74027777777777781</v>
      </c>
      <c r="D227" s="46">
        <v>0.76041666666666663</v>
      </c>
      <c r="E227" s="43">
        <v>0.76111111111111107</v>
      </c>
      <c r="F227" s="49">
        <f t="shared" si="19"/>
        <v>1.388888888888884E-3</v>
      </c>
      <c r="G227" s="52">
        <f t="shared" si="16"/>
        <v>2</v>
      </c>
      <c r="H227" s="46">
        <f t="shared" si="17"/>
        <v>6.9444444444444198E-4</v>
      </c>
      <c r="I227" s="52">
        <f t="shared" si="18"/>
        <v>1</v>
      </c>
      <c r="J227" s="55" t="s">
        <v>42</v>
      </c>
    </row>
    <row r="228" spans="1:10" ht="15">
      <c r="A228" s="37">
        <v>6</v>
      </c>
      <c r="B228" s="40">
        <v>227</v>
      </c>
      <c r="C228" s="43">
        <v>0.74444444444444446</v>
      </c>
      <c r="D228" s="46">
        <v>0.76111111111111107</v>
      </c>
      <c r="E228" s="43">
        <v>0.76250000000000007</v>
      </c>
      <c r="F228" s="49">
        <f t="shared" si="19"/>
        <v>4.1666666666666519E-3</v>
      </c>
      <c r="G228" s="52">
        <f t="shared" si="16"/>
        <v>6</v>
      </c>
      <c r="H228" s="46">
        <f t="shared" si="17"/>
        <v>1.388888888888995E-3</v>
      </c>
      <c r="I228" s="52">
        <f t="shared" si="18"/>
        <v>2</v>
      </c>
      <c r="J228" s="55" t="s">
        <v>42</v>
      </c>
    </row>
    <row r="229" spans="1:10" ht="15">
      <c r="A229" s="37">
        <v>6</v>
      </c>
      <c r="B229" s="40">
        <v>228</v>
      </c>
      <c r="C229" s="43">
        <v>0.75555555555555554</v>
      </c>
      <c r="D229" s="46">
        <v>0.75624999999999998</v>
      </c>
      <c r="E229" s="43">
        <v>0.76041666666666663</v>
      </c>
      <c r="F229" s="49">
        <f>C229-C228</f>
        <v>1.1111111111111072E-2</v>
      </c>
      <c r="G229" s="52">
        <f t="shared" si="16"/>
        <v>16</v>
      </c>
      <c r="H229" s="46">
        <f t="shared" si="17"/>
        <v>4.1666666666666519E-3</v>
      </c>
      <c r="I229" s="52">
        <f t="shared" si="18"/>
        <v>6</v>
      </c>
      <c r="J229" s="55" t="s">
        <v>43</v>
      </c>
    </row>
    <row r="230" spans="1:10" ht="15">
      <c r="A230" s="37">
        <v>6</v>
      </c>
      <c r="B230" s="40">
        <v>229</v>
      </c>
      <c r="C230" s="43">
        <v>0.75555555555555554</v>
      </c>
      <c r="D230" s="46">
        <v>0.76249999999999996</v>
      </c>
      <c r="E230" s="43">
        <v>0.76458333333333328</v>
      </c>
      <c r="F230" s="49">
        <f t="shared" si="19"/>
        <v>0</v>
      </c>
      <c r="G230" s="52">
        <f t="shared" si="16"/>
        <v>0</v>
      </c>
      <c r="H230" s="46">
        <f t="shared" si="17"/>
        <v>2.0833333333333259E-3</v>
      </c>
      <c r="I230" s="52">
        <f t="shared" si="18"/>
        <v>3</v>
      </c>
      <c r="J230" s="55" t="s">
        <v>42</v>
      </c>
    </row>
    <row r="231" spans="1:10" ht="15">
      <c r="A231" s="37">
        <v>6</v>
      </c>
      <c r="B231" s="40">
        <v>230</v>
      </c>
      <c r="C231" s="43">
        <v>0.75624999999999998</v>
      </c>
      <c r="D231" s="46">
        <v>0.76458333333333328</v>
      </c>
      <c r="E231" s="43">
        <v>0.76597222222222228</v>
      </c>
      <c r="F231" s="49">
        <f t="shared" si="19"/>
        <v>6.9444444444444198E-4</v>
      </c>
      <c r="G231" s="52">
        <f t="shared" si="16"/>
        <v>1</v>
      </c>
      <c r="H231" s="46">
        <f t="shared" si="17"/>
        <v>1.388888888888995E-3</v>
      </c>
      <c r="I231" s="52">
        <f t="shared" si="18"/>
        <v>2</v>
      </c>
      <c r="J231" s="55" t="s">
        <v>42</v>
      </c>
    </row>
    <row r="232" spans="1:10" ht="15">
      <c r="A232" s="37">
        <v>6</v>
      </c>
      <c r="B232" s="40">
        <v>231</v>
      </c>
      <c r="C232" s="43">
        <v>0.75763888888888886</v>
      </c>
      <c r="D232" s="46">
        <v>0.76597222222222228</v>
      </c>
      <c r="E232" s="43">
        <v>0.76666666666666672</v>
      </c>
      <c r="F232" s="49">
        <f t="shared" si="19"/>
        <v>1.388888888888884E-3</v>
      </c>
      <c r="G232" s="52">
        <f t="shared" si="16"/>
        <v>2</v>
      </c>
      <c r="H232" s="46">
        <f t="shared" si="17"/>
        <v>6.9444444444444198E-4</v>
      </c>
      <c r="I232" s="52">
        <f t="shared" si="18"/>
        <v>1</v>
      </c>
      <c r="J232" s="55" t="s">
        <v>42</v>
      </c>
    </row>
    <row r="233" spans="1:10" ht="15">
      <c r="A233" s="37">
        <v>6</v>
      </c>
      <c r="B233" s="40">
        <v>232</v>
      </c>
      <c r="C233" s="43">
        <v>0.76458333333333328</v>
      </c>
      <c r="D233" s="46">
        <v>0.76666666666666672</v>
      </c>
      <c r="E233" s="43">
        <v>0.77013888888888893</v>
      </c>
      <c r="F233" s="49">
        <f t="shared" si="19"/>
        <v>6.9444444444444198E-3</v>
      </c>
      <c r="G233" s="52">
        <f t="shared" si="16"/>
        <v>10</v>
      </c>
      <c r="H233" s="46">
        <f t="shared" si="17"/>
        <v>3.4722222222222099E-3</v>
      </c>
      <c r="I233" s="52">
        <f t="shared" si="18"/>
        <v>5</v>
      </c>
      <c r="J233" s="55" t="s">
        <v>42</v>
      </c>
    </row>
    <row r="234" spans="1:10" ht="15">
      <c r="A234" s="37">
        <v>6</v>
      </c>
      <c r="B234" s="40">
        <v>233</v>
      </c>
      <c r="C234" s="43">
        <v>0.77986111111111112</v>
      </c>
      <c r="D234" s="46">
        <v>0.77986111111111112</v>
      </c>
      <c r="E234" s="43">
        <v>0.78402777777777777</v>
      </c>
      <c r="F234" s="49">
        <f t="shared" si="19"/>
        <v>1.5277777777777835E-2</v>
      </c>
      <c r="G234" s="52">
        <f t="shared" si="16"/>
        <v>22</v>
      </c>
      <c r="H234" s="46">
        <f t="shared" si="17"/>
        <v>4.1666666666666519E-3</v>
      </c>
      <c r="I234" s="52">
        <f t="shared" si="18"/>
        <v>6</v>
      </c>
      <c r="J234" s="55" t="s">
        <v>42</v>
      </c>
    </row>
    <row r="235" spans="1:10" ht="15">
      <c r="A235" s="37">
        <v>6</v>
      </c>
      <c r="B235" s="40">
        <v>234</v>
      </c>
      <c r="C235" s="43">
        <v>0.78611111111111109</v>
      </c>
      <c r="D235" s="46">
        <v>0.78611111111111109</v>
      </c>
      <c r="E235" s="43">
        <v>0.78819444444444442</v>
      </c>
      <c r="F235" s="49">
        <f t="shared" si="19"/>
        <v>6.2499999999999778E-3</v>
      </c>
      <c r="G235" s="52">
        <f t="shared" si="16"/>
        <v>9</v>
      </c>
      <c r="H235" s="46">
        <f t="shared" si="17"/>
        <v>2.0833333333333259E-3</v>
      </c>
      <c r="I235" s="52">
        <f t="shared" si="18"/>
        <v>3</v>
      </c>
      <c r="J235" s="55" t="s">
        <v>42</v>
      </c>
    </row>
    <row r="236" spans="1:10" ht="15">
      <c r="A236" s="37">
        <v>6</v>
      </c>
      <c r="B236" s="40">
        <v>235</v>
      </c>
      <c r="C236" s="43">
        <v>0.78680555555555554</v>
      </c>
      <c r="D236" s="46">
        <v>0.78819444444444442</v>
      </c>
      <c r="E236" s="43">
        <v>0.78888888888888886</v>
      </c>
      <c r="F236" s="49">
        <f t="shared" si="19"/>
        <v>6.9444444444444198E-4</v>
      </c>
      <c r="G236" s="52">
        <f t="shared" si="16"/>
        <v>1</v>
      </c>
      <c r="H236" s="46">
        <f t="shared" si="17"/>
        <v>6.9444444444444198E-4</v>
      </c>
      <c r="I236" s="52">
        <f t="shared" si="18"/>
        <v>1</v>
      </c>
      <c r="J236" s="55" t="s">
        <v>42</v>
      </c>
    </row>
    <row r="237" spans="1:10" ht="15">
      <c r="A237" s="37">
        <v>6</v>
      </c>
      <c r="B237" s="40">
        <v>236</v>
      </c>
      <c r="C237" s="43">
        <v>0.78888888888888886</v>
      </c>
      <c r="D237" s="46">
        <v>0.78888888888888886</v>
      </c>
      <c r="E237" s="43">
        <v>0.7895833333333333</v>
      </c>
      <c r="F237" s="49">
        <f t="shared" si="19"/>
        <v>2.0833333333333259E-3</v>
      </c>
      <c r="G237" s="52">
        <f t="shared" si="16"/>
        <v>3</v>
      </c>
      <c r="H237" s="46">
        <f t="shared" si="17"/>
        <v>6.9444444444444198E-4</v>
      </c>
      <c r="I237" s="52">
        <f t="shared" si="18"/>
        <v>1</v>
      </c>
      <c r="J237" s="55" t="s">
        <v>42</v>
      </c>
    </row>
    <row r="238" spans="1:10" ht="15">
      <c r="A238" s="37">
        <v>6</v>
      </c>
      <c r="B238" s="40">
        <v>237</v>
      </c>
      <c r="C238" s="43">
        <v>0.79236111111111107</v>
      </c>
      <c r="D238" s="46">
        <v>0.79236111111111107</v>
      </c>
      <c r="E238" s="43">
        <v>0.79513888888888884</v>
      </c>
      <c r="F238" s="49">
        <f t="shared" si="19"/>
        <v>3.4722222222222099E-3</v>
      </c>
      <c r="G238" s="52">
        <f t="shared" si="16"/>
        <v>5</v>
      </c>
      <c r="H238" s="46">
        <f t="shared" si="17"/>
        <v>2.7777777777777679E-3</v>
      </c>
      <c r="I238" s="52">
        <f t="shared" si="18"/>
        <v>4</v>
      </c>
      <c r="J238" s="55" t="s">
        <v>42</v>
      </c>
    </row>
    <row r="239" spans="1:10" ht="15">
      <c r="A239" s="37">
        <v>6</v>
      </c>
      <c r="B239" s="40">
        <v>238</v>
      </c>
      <c r="C239" s="43">
        <v>0.79583333333333328</v>
      </c>
      <c r="D239" s="46">
        <v>0.79583333333333328</v>
      </c>
      <c r="E239" s="43">
        <v>0.79791666666666672</v>
      </c>
      <c r="F239" s="49">
        <f t="shared" si="19"/>
        <v>3.4722222222222099E-3</v>
      </c>
      <c r="G239" s="52">
        <f t="shared" si="16"/>
        <v>5</v>
      </c>
      <c r="H239" s="46">
        <f t="shared" si="17"/>
        <v>2.083333333333437E-3</v>
      </c>
      <c r="I239" s="52">
        <f t="shared" si="18"/>
        <v>3</v>
      </c>
      <c r="J239" s="55" t="s">
        <v>42</v>
      </c>
    </row>
    <row r="240" spans="1:10" ht="15">
      <c r="A240" s="37">
        <v>6</v>
      </c>
      <c r="B240" s="40">
        <v>239</v>
      </c>
      <c r="C240" s="43">
        <v>0.80555555555555558</v>
      </c>
      <c r="D240" s="46">
        <v>0.80555555555555558</v>
      </c>
      <c r="E240" s="43">
        <v>0.80972222222222223</v>
      </c>
      <c r="F240" s="49">
        <f t="shared" si="19"/>
        <v>9.7222222222222987E-3</v>
      </c>
      <c r="G240" s="52">
        <f t="shared" si="16"/>
        <v>14</v>
      </c>
      <c r="H240" s="46">
        <f t="shared" si="17"/>
        <v>4.1666666666666519E-3</v>
      </c>
      <c r="I240" s="52">
        <f t="shared" si="18"/>
        <v>6</v>
      </c>
      <c r="J240" s="55" t="s">
        <v>43</v>
      </c>
    </row>
    <row r="241" spans="1:10" ht="15">
      <c r="A241" s="39">
        <v>6</v>
      </c>
      <c r="B241" s="42">
        <v>240</v>
      </c>
      <c r="C241" s="45">
        <v>0.81111111111111112</v>
      </c>
      <c r="D241" s="48">
        <v>0.81111111111111112</v>
      </c>
      <c r="E241" s="45">
        <v>0.81458333333333333</v>
      </c>
      <c r="F241" s="51">
        <f t="shared" si="19"/>
        <v>5.5555555555555358E-3</v>
      </c>
      <c r="G241" s="54">
        <f t="shared" si="16"/>
        <v>8</v>
      </c>
      <c r="H241" s="48">
        <f t="shared" si="17"/>
        <v>3.4722222222222099E-3</v>
      </c>
      <c r="I241" s="54">
        <f>MINUTE(H241)</f>
        <v>5</v>
      </c>
      <c r="J241" s="57" t="s">
        <v>43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Tufail Khan</dc:creator>
  <cp:keywords/>
  <dc:description/>
  <cp:lastModifiedBy/>
  <cp:revision/>
  <dcterms:created xsi:type="dcterms:W3CDTF">2025-10-17T12:38:14Z</dcterms:created>
  <dcterms:modified xsi:type="dcterms:W3CDTF">2025-10-29T15:21:04Z</dcterms:modified>
  <cp:category/>
  <cp:contentStatus/>
</cp:coreProperties>
</file>